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rofile-MKT Abbubakar\Desktop\Multiple Customer Specs\"/>
    </mc:Choice>
  </mc:AlternateContent>
  <xr:revisionPtr revIDLastSave="0" documentId="13_ncr:1_{26588545-9E5D-4680-ACBC-8AFD9B8994A7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RIGID BAGGY  ELASTICATED WAIST" sheetId="2" r:id="rId1"/>
    <sheet name="RIGID BAGGY 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G5" i="2" s="1"/>
  <c r="H5" i="2" s="1"/>
  <c r="I5" i="2" s="1"/>
  <c r="J5" i="2" s="1"/>
  <c r="K5" i="2" s="1"/>
  <c r="L5" i="2" s="1"/>
  <c r="D5" i="2"/>
  <c r="C5" i="2"/>
  <c r="F4" i="2"/>
  <c r="G4" i="2" s="1"/>
  <c r="H4" i="2" s="1"/>
  <c r="I4" i="2" s="1"/>
  <c r="J4" i="2" s="1"/>
  <c r="K4" i="2" s="1"/>
  <c r="L4" i="2" s="1"/>
  <c r="D4" i="2"/>
  <c r="C4" i="2"/>
  <c r="F3" i="2"/>
  <c r="G3" i="2" s="1"/>
  <c r="H3" i="2" s="1"/>
  <c r="I3" i="2" s="1"/>
  <c r="J3" i="2" s="1"/>
  <c r="K3" i="2" s="1"/>
  <c r="L3" i="2" s="1"/>
  <c r="D3" i="2"/>
  <c r="C3" i="2"/>
  <c r="D6" i="2"/>
  <c r="C6" i="2" s="1"/>
  <c r="F6" i="2"/>
  <c r="G6" i="2"/>
  <c r="H6" i="2"/>
  <c r="I6" i="2"/>
  <c r="J6" i="2"/>
  <c r="K6" i="2"/>
  <c r="L6" i="2"/>
  <c r="F27" i="2"/>
  <c r="G27" i="2" s="1"/>
  <c r="H27" i="2" s="1"/>
  <c r="I27" i="2" s="1"/>
  <c r="J27" i="2" s="1"/>
  <c r="K27" i="2" s="1"/>
  <c r="L27" i="2" s="1"/>
  <c r="D27" i="2"/>
  <c r="C27" i="2"/>
  <c r="K26" i="2"/>
  <c r="J26" i="2"/>
  <c r="I26" i="2"/>
  <c r="H26" i="2"/>
  <c r="G26" i="2"/>
  <c r="F26" i="2"/>
  <c r="L26" i="2" s="1"/>
  <c r="D26" i="2"/>
  <c r="C26" i="2"/>
  <c r="F25" i="2"/>
  <c r="G25" i="2" s="1"/>
  <c r="H25" i="2" s="1"/>
  <c r="I25" i="2" s="1"/>
  <c r="J25" i="2" s="1"/>
  <c r="K25" i="2" s="1"/>
  <c r="L25" i="2" s="1"/>
  <c r="D25" i="2"/>
  <c r="C25" i="2"/>
  <c r="F24" i="2"/>
  <c r="G24" i="2" s="1"/>
  <c r="H24" i="2" s="1"/>
  <c r="I24" i="2" s="1"/>
  <c r="J24" i="2" s="1"/>
  <c r="K24" i="2" s="1"/>
  <c r="L24" i="2" s="1"/>
  <c r="D24" i="2"/>
  <c r="C24" i="2"/>
  <c r="F23" i="2"/>
  <c r="G23" i="2" s="1"/>
  <c r="H23" i="2" s="1"/>
  <c r="I23" i="2" s="1"/>
  <c r="J23" i="2" s="1"/>
  <c r="K23" i="2" s="1"/>
  <c r="L23" i="2" s="1"/>
  <c r="D23" i="2"/>
  <c r="C23" i="2"/>
  <c r="F22" i="2"/>
  <c r="G22" i="2" s="1"/>
  <c r="H22" i="2" s="1"/>
  <c r="I22" i="2" s="1"/>
  <c r="J22" i="2" s="1"/>
  <c r="K22" i="2" s="1"/>
  <c r="L22" i="2" s="1"/>
  <c r="D22" i="2"/>
  <c r="C22" i="2"/>
  <c r="F21" i="2"/>
  <c r="G21" i="2" s="1"/>
  <c r="H21" i="2" s="1"/>
  <c r="I21" i="2" s="1"/>
  <c r="J21" i="2" s="1"/>
  <c r="K21" i="2" s="1"/>
  <c r="L21" i="2" s="1"/>
  <c r="D21" i="2"/>
  <c r="C21" i="2"/>
  <c r="F20" i="2"/>
  <c r="G20" i="2" s="1"/>
  <c r="H20" i="2" s="1"/>
  <c r="I20" i="2" s="1"/>
  <c r="J20" i="2" s="1"/>
  <c r="K20" i="2" s="1"/>
  <c r="L20" i="2" s="1"/>
  <c r="D20" i="2"/>
  <c r="C20" i="2"/>
  <c r="K19" i="2"/>
  <c r="J19" i="2"/>
  <c r="I19" i="2"/>
  <c r="H19" i="2"/>
  <c r="G19" i="2"/>
  <c r="F19" i="2"/>
  <c r="L19" i="2" s="1"/>
  <c r="D19" i="2"/>
  <c r="C19" i="2"/>
  <c r="K18" i="2"/>
  <c r="J18" i="2"/>
  <c r="I18" i="2"/>
  <c r="H18" i="2"/>
  <c r="G18" i="2"/>
  <c r="F18" i="2"/>
  <c r="L18" i="2" s="1"/>
  <c r="D18" i="2"/>
  <c r="C18" i="2"/>
  <c r="F17" i="2"/>
  <c r="G17" i="2" s="1"/>
  <c r="H17" i="2" s="1"/>
  <c r="I17" i="2" s="1"/>
  <c r="J17" i="2" s="1"/>
  <c r="K17" i="2" s="1"/>
  <c r="L17" i="2" s="1"/>
  <c r="D17" i="2"/>
  <c r="C17" i="2"/>
  <c r="F15" i="2"/>
  <c r="G15" i="2" s="1"/>
  <c r="H15" i="2" s="1"/>
  <c r="I15" i="2" s="1"/>
  <c r="J15" i="2" s="1"/>
  <c r="K15" i="2" s="1"/>
  <c r="L15" i="2" s="1"/>
  <c r="D15" i="2"/>
  <c r="C15" i="2"/>
  <c r="L14" i="2"/>
  <c r="K14" i="2"/>
  <c r="J14" i="2"/>
  <c r="I14" i="2"/>
  <c r="H14" i="2"/>
  <c r="G14" i="2"/>
  <c r="D14" i="2"/>
  <c r="C14" i="2"/>
  <c r="F13" i="2"/>
  <c r="G13" i="2" s="1"/>
  <c r="H13" i="2" s="1"/>
  <c r="I13" i="2" s="1"/>
  <c r="J13" i="2" s="1"/>
  <c r="K13" i="2" s="1"/>
  <c r="L13" i="2" s="1"/>
  <c r="D13" i="2"/>
  <c r="C13" i="2"/>
  <c r="K12" i="2"/>
  <c r="J12" i="2"/>
  <c r="I12" i="2"/>
  <c r="H12" i="2"/>
  <c r="G12" i="2"/>
  <c r="F12" i="2"/>
  <c r="L12" i="2" s="1"/>
  <c r="D12" i="2"/>
  <c r="C12" i="2"/>
  <c r="F11" i="2"/>
  <c r="G11" i="2" s="1"/>
  <c r="H11" i="2" s="1"/>
  <c r="I11" i="2" s="1"/>
  <c r="J11" i="2" s="1"/>
  <c r="K11" i="2" s="1"/>
  <c r="L11" i="2" s="1"/>
  <c r="D11" i="2"/>
  <c r="C11" i="2"/>
  <c r="F10" i="2"/>
  <c r="G10" i="2" s="1"/>
  <c r="H10" i="2" s="1"/>
  <c r="I10" i="2" s="1"/>
  <c r="J10" i="2" s="1"/>
  <c r="K10" i="2" s="1"/>
  <c r="L10" i="2" s="1"/>
  <c r="D10" i="2"/>
  <c r="C10" i="2"/>
  <c r="F9" i="2"/>
  <c r="G9" i="2" s="1"/>
  <c r="H9" i="2" s="1"/>
  <c r="I9" i="2" s="1"/>
  <c r="J9" i="2" s="1"/>
  <c r="K9" i="2" s="1"/>
  <c r="L9" i="2" s="1"/>
  <c r="D9" i="2"/>
  <c r="C9" i="2"/>
  <c r="F8" i="2"/>
  <c r="G8" i="2" s="1"/>
  <c r="H8" i="2" s="1"/>
  <c r="I8" i="2" s="1"/>
  <c r="J8" i="2" s="1"/>
  <c r="K8" i="2" s="1"/>
  <c r="L8" i="2" s="1"/>
  <c r="D8" i="2"/>
  <c r="C8" i="2"/>
  <c r="F7" i="2"/>
  <c r="G7" i="2" s="1"/>
  <c r="H7" i="2" s="1"/>
  <c r="I7" i="2" s="1"/>
  <c r="J7" i="2" s="1"/>
  <c r="K7" i="2" s="1"/>
  <c r="L7" i="2" s="1"/>
  <c r="D7" i="2"/>
  <c r="C7" i="2"/>
</calcChain>
</file>

<file path=xl/sharedStrings.xml><?xml version="1.0" encoding="utf-8"?>
<sst xmlns="http://schemas.openxmlformats.org/spreadsheetml/2006/main" count="58" uniqueCount="32">
  <si>
    <t>NEW RIGID BAGGY JEAN</t>
  </si>
  <si>
    <t>MEASUREMENTS</t>
  </si>
  <si>
    <t>TOL.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</si>
  <si>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</si>
  <si>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</si>
  <si>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</si>
  <si>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</si>
  <si>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</si>
  <si>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</si>
  <si>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KNEE @ 35CM DOWN</t>
  </si>
  <si>
    <t xml:space="preserve">CALF @ 46CM DOWN </t>
  </si>
  <si>
    <t>LEG OPENING</t>
  </si>
  <si>
    <t>HEM DEPTH</t>
  </si>
  <si>
    <t>INSIDE LEG - Regular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</si>
  <si>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</si>
  <si>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</si>
  <si>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</si>
  <si>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</si>
  <si>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</si>
  <si>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</si>
  <si>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</si>
  <si>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</si>
  <si>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</si>
  <si>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</si>
  <si>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</si>
  <si>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</si>
  <si>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</si>
  <si>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</si>
  <si>
    <t>UPDATED 14 05 24</t>
  </si>
  <si>
    <t>RISES UPDATED 30 07 24</t>
  </si>
  <si>
    <t>RIGID BAGGY JEAN</t>
  </si>
  <si>
    <t>TOP HIP 10CM DOWN FROM TOP OF WAISTBAND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</si>
</sst>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thin">
        <color theme="1" tint="0.499984740745262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34998626667073579"/>
      </right>
      <top style="medium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000000"/>
      </right>
      <top style="medium">
        <color rgb="FF000000"/>
      </top>
      <bottom style="thin">
        <color theme="0" tint="-0.34998626667073579"/>
      </bottom>
      <diagonal/>
    </border>
    <border>
      <left style="medium">
        <color rgb="FF0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000000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rgb="FF000000"/>
      </right>
      <top style="thin">
        <color theme="0" tint="-0.34998626667073579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rgb="FF000000"/>
      </right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249977111117893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2" fillId="3" borderId="3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2" fillId="3" borderId="3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2" fillId="3" borderId="3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2" fillId="3" borderId="3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2" fillId="3" borderId="3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3" borderId="3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1</xdr:row>
      <xdr:rowOff>76200</xdr:rowOff>
    </xdr:from>
    <xdr:to>
      <xdr:col>15</xdr:col>
      <xdr:colOff>514350</xdr:colOff>
      <xdr:row>22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EF630-358C-4EE5-BBB6-B36894B00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2175" y="266700"/>
          <a:ext cx="1895475" cy="398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337-8191-41AC-9B26-606311FA6FAB}">
  <sheetPr>
    <pageSetUpPr fitToPage="1"/>
  </sheetPr>
  <dimension ref="A1:L30"/>
  <sheetViews>
    <sheetView zoomScale="110" zoomScaleNormal="110" workbookViewId="0">
      <selection activeCell="A15" sqref="A15"/>
    </sheetView>
  </sheetViews>
  <sheetFormatPr defaultColWidth="8.6640625" defaultRowHeight="14.4" x14ac:dyDescent="0.3"/>
  <cols>
    <col min="1" max="1" width="45.44140625" style="1" customWidth="1"/>
    <col min="2" max="16384" width="8.6640625" style="1"/>
  </cols>
  <sheetData>
    <row r="1" spans="1:12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1</v>
      </c>
      <c r="B2" s="5" t="s">
        <v>2</v>
      </c>
      <c r="C2" s="6">
        <v>28</v>
      </c>
      <c r="D2" s="7">
        <v>30</v>
      </c>
      <c r="E2" s="7">
        <v>32</v>
      </c>
      <c r="F2" s="7">
        <v>34</v>
      </c>
      <c r="G2" s="7">
        <v>36</v>
      </c>
      <c r="H2" s="7">
        <v>38</v>
      </c>
      <c r="I2" s="7">
        <v>40</v>
      </c>
      <c r="J2" s="7">
        <v>42</v>
      </c>
      <c r="K2" s="7">
        <v>44</v>
      </c>
      <c r="L2" s="8">
        <v>46</v>
      </c>
    </row>
    <row r="3" spans="1:12" x14ac:dyDescent="0.3">
      <c r="A3" s="9" t="s">
        <v>3</v>
      </c>
      <c r="B3" s="10">
        <v>1</v>
      </c>
      <c r="C3" s="11">
        <f t="shared" ref="C3:C5" si="0">D3-2.5</f>
        <v>34</v>
      </c>
      <c r="D3" s="12">
        <f>E3-2.5</f>
        <v>36.5</v>
      </c>
      <c r="E3" s="12">
        <v>39</v>
      </c>
      <c r="F3" s="12">
        <f>E3+2.5</f>
        <v>41.5</v>
      </c>
      <c r="G3" s="12">
        <f t="shared" ref="G3:L5" si="1">F3+2.5</f>
        <v>44</v>
      </c>
      <c r="H3" s="12">
        <f t="shared" si="1"/>
        <v>46.5</v>
      </c>
      <c r="I3" s="12">
        <f t="shared" si="1"/>
        <v>49</v>
      </c>
      <c r="J3" s="12">
        <f t="shared" si="1"/>
        <v>51.5</v>
      </c>
      <c r="K3" s="12">
        <f t="shared" si="1"/>
        <v>54</v>
      </c>
      <c r="L3" s="13">
        <f t="shared" si="1"/>
        <v>56.5</v>
      </c>
    </row>
    <row r="4" spans="1:12" x14ac:dyDescent="0.3">
      <c r="A4" s="14" t="s">
        <v>4</v>
      </c>
      <c r="B4" s="15">
        <v>1</v>
      </c>
      <c r="C4" s="16">
        <f t="shared" si="0"/>
        <v>50</v>
      </c>
      <c r="D4" s="17">
        <f>E4-2.5</f>
        <v>52.5</v>
      </c>
      <c r="E4" s="17">
        <v>55</v>
      </c>
      <c r="F4" s="17">
        <f>E4+2.5</f>
        <v>57.5</v>
      </c>
      <c r="G4" s="17">
        <f t="shared" si="1"/>
        <v>60</v>
      </c>
      <c r="H4" s="17">
        <f t="shared" si="1"/>
        <v>62.5</v>
      </c>
      <c r="I4" s="17">
        <f t="shared" si="1"/>
        <v>65</v>
      </c>
      <c r="J4" s="17">
        <f t="shared" si="1"/>
        <v>67.5</v>
      </c>
      <c r="K4" s="17">
        <f t="shared" si="1"/>
        <v>70</v>
      </c>
      <c r="L4" s="18">
        <f t="shared" si="1"/>
        <v>72.5</v>
      </c>
    </row>
    <row r="5" spans="1:12" x14ac:dyDescent="0.3">
      <c r="A5" s="14" t="s">
        <v>5</v>
      </c>
      <c r="B5" s="15">
        <v>1</v>
      </c>
      <c r="C5" s="16">
        <f t="shared" si="0"/>
        <v>51.5</v>
      </c>
      <c r="D5" s="17">
        <f>E5-2.5</f>
        <v>54</v>
      </c>
      <c r="E5" s="17">
        <v>56.5</v>
      </c>
      <c r="F5" s="17">
        <f>E5+2.5</f>
        <v>59</v>
      </c>
      <c r="G5" s="17">
        <f t="shared" si="1"/>
        <v>61.5</v>
      </c>
      <c r="H5" s="17">
        <f t="shared" si="1"/>
        <v>64</v>
      </c>
      <c r="I5" s="17">
        <f t="shared" si="1"/>
        <v>66.5</v>
      </c>
      <c r="J5" s="17">
        <f t="shared" si="1"/>
        <v>69</v>
      </c>
      <c r="K5" s="17">
        <f t="shared" si="1"/>
        <v>71.5</v>
      </c>
      <c r="L5" s="18">
        <f t="shared" si="1"/>
        <v>74</v>
      </c>
    </row>
    <row r="6" spans="1:12" x14ac:dyDescent="0.3">
      <c r="A6" s="14" t="s">
        <v>6</v>
      </c>
      <c r="B6" s="15">
        <v>1</v>
      </c>
      <c r="C6" s="16">
        <f t="shared" ref="C6:C7" si="2">D6-1</f>
        <v>27</v>
      </c>
      <c r="D6" s="17">
        <f>E6-1</f>
        <v>28</v>
      </c>
      <c r="E6" s="17">
        <v>29</v>
      </c>
      <c r="F6" s="17">
        <f>E6+1</f>
        <v>30</v>
      </c>
      <c r="G6" s="17">
        <f t="shared" ref="G6" si="3">F6+1</f>
        <v>31</v>
      </c>
      <c r="H6" s="17">
        <f>G6+1.5</f>
        <v>32.5</v>
      </c>
      <c r="I6" s="17">
        <f>H6+1.5</f>
        <v>34</v>
      </c>
      <c r="J6" s="17">
        <f>I6+1.5</f>
        <v>35.5</v>
      </c>
      <c r="K6" s="17">
        <f>J6+1.5</f>
        <v>37</v>
      </c>
      <c r="L6" s="18">
        <f>K6+1.5</f>
        <v>38.5</v>
      </c>
    </row>
    <row r="7" spans="1:12" x14ac:dyDescent="0.3">
      <c r="A7" s="14" t="s">
        <v>7</v>
      </c>
      <c r="B7" s="15">
        <v>1</v>
      </c>
      <c r="C7" s="16">
        <f t="shared" si="2"/>
        <v>37</v>
      </c>
      <c r="D7" s="17">
        <f>E7-1</f>
        <v>38</v>
      </c>
      <c r="E7" s="17">
        <v>39</v>
      </c>
      <c r="F7" s="17">
        <f>E7+1.2</f>
        <v>40.200000000000003</v>
      </c>
      <c r="G7" s="17">
        <f t="shared" ref="G7" si="4">F7+1.2</f>
        <v>41.400000000000006</v>
      </c>
      <c r="H7" s="17">
        <f>G7+1.8</f>
        <v>43.2</v>
      </c>
      <c r="I7" s="17">
        <f>H7+1.8</f>
        <v>45</v>
      </c>
      <c r="J7" s="17">
        <f>I7+1.8</f>
        <v>46.8</v>
      </c>
      <c r="K7" s="17">
        <f>J7+1.8</f>
        <v>48.599999999999994</v>
      </c>
      <c r="L7" s="18">
        <f>K7+1.8</f>
        <v>50.399999999999991</v>
      </c>
    </row>
    <row r="8" spans="1:12" x14ac:dyDescent="0.3">
      <c r="A8" s="14" t="s">
        <v>8</v>
      </c>
      <c r="B8" s="15">
        <v>1</v>
      </c>
      <c r="C8" s="16">
        <f t="shared" ref="C8:C10" si="5">D8-1.2</f>
        <v>33.099999999999994</v>
      </c>
      <c r="D8" s="17">
        <f>E8-1.2</f>
        <v>34.299999999999997</v>
      </c>
      <c r="E8" s="17">
        <v>35.5</v>
      </c>
      <c r="F8" s="17">
        <f>E8+1.5</f>
        <v>37</v>
      </c>
      <c r="G8" s="17">
        <f t="shared" ref="G8:L10" si="6">F8+1.5</f>
        <v>38.5</v>
      </c>
      <c r="H8" s="17">
        <f t="shared" si="6"/>
        <v>40</v>
      </c>
      <c r="I8" s="17">
        <f t="shared" si="6"/>
        <v>41.5</v>
      </c>
      <c r="J8" s="17">
        <f t="shared" si="6"/>
        <v>43</v>
      </c>
      <c r="K8" s="17">
        <f t="shared" si="6"/>
        <v>44.5</v>
      </c>
      <c r="L8" s="18">
        <f t="shared" si="6"/>
        <v>46</v>
      </c>
    </row>
    <row r="9" spans="1:12" x14ac:dyDescent="0.3">
      <c r="A9" s="14" t="s">
        <v>9</v>
      </c>
      <c r="B9" s="15">
        <v>1</v>
      </c>
      <c r="C9" s="16">
        <f t="shared" si="5"/>
        <v>30.6</v>
      </c>
      <c r="D9" s="17">
        <f>E9-1.2</f>
        <v>31.8</v>
      </c>
      <c r="E9" s="17">
        <v>33</v>
      </c>
      <c r="F9" s="17">
        <f>E9+1.5</f>
        <v>34.5</v>
      </c>
      <c r="G9" s="17">
        <f t="shared" si="6"/>
        <v>36</v>
      </c>
      <c r="H9" s="17">
        <f t="shared" si="6"/>
        <v>37.5</v>
      </c>
      <c r="I9" s="17">
        <f t="shared" si="6"/>
        <v>39</v>
      </c>
      <c r="J9" s="17">
        <f t="shared" si="6"/>
        <v>40.5</v>
      </c>
      <c r="K9" s="17">
        <f t="shared" si="6"/>
        <v>42</v>
      </c>
      <c r="L9" s="18">
        <f t="shared" si="6"/>
        <v>43.5</v>
      </c>
    </row>
    <row r="10" spans="1:12" x14ac:dyDescent="0.3">
      <c r="A10" s="14" t="s">
        <v>10</v>
      </c>
      <c r="B10" s="15">
        <v>1</v>
      </c>
      <c r="C10" s="16">
        <f t="shared" si="5"/>
        <v>29.6</v>
      </c>
      <c r="D10" s="17">
        <f>E10-1.2</f>
        <v>30.8</v>
      </c>
      <c r="E10" s="17">
        <v>32</v>
      </c>
      <c r="F10" s="17">
        <f>E10+1.5</f>
        <v>33.5</v>
      </c>
      <c r="G10" s="17">
        <f t="shared" si="6"/>
        <v>35</v>
      </c>
      <c r="H10" s="17">
        <f t="shared" si="6"/>
        <v>36.5</v>
      </c>
      <c r="I10" s="17">
        <f t="shared" si="6"/>
        <v>38</v>
      </c>
      <c r="J10" s="17">
        <f t="shared" si="6"/>
        <v>39.5</v>
      </c>
      <c r="K10" s="17">
        <f t="shared" si="6"/>
        <v>41</v>
      </c>
      <c r="L10" s="18">
        <f t="shared" si="6"/>
        <v>42.5</v>
      </c>
    </row>
    <row r="11" spans="1:12" x14ac:dyDescent="0.3">
      <c r="A11" s="14" t="s">
        <v>11</v>
      </c>
      <c r="B11" s="15">
        <v>0.5</v>
      </c>
      <c r="C11" s="16">
        <f>D11-0.8</f>
        <v>27.4</v>
      </c>
      <c r="D11" s="17">
        <f>E11-0.8</f>
        <v>28.2</v>
      </c>
      <c r="E11" s="17">
        <v>29</v>
      </c>
      <c r="F11" s="17">
        <f>E11+1.2</f>
        <v>30.2</v>
      </c>
      <c r="G11" s="17">
        <f t="shared" ref="G11:L11" si="7">F11+1.2</f>
        <v>31.4</v>
      </c>
      <c r="H11" s="17">
        <f t="shared" si="7"/>
        <v>32.6</v>
      </c>
      <c r="I11" s="17">
        <f t="shared" si="7"/>
        <v>33.800000000000004</v>
      </c>
      <c r="J11" s="17">
        <f t="shared" si="7"/>
        <v>35.000000000000007</v>
      </c>
      <c r="K11" s="17">
        <f t="shared" si="7"/>
        <v>36.20000000000001</v>
      </c>
      <c r="L11" s="18">
        <f t="shared" si="7"/>
        <v>37.400000000000013</v>
      </c>
    </row>
    <row r="12" spans="1:12" x14ac:dyDescent="0.3">
      <c r="A12" s="14" t="s">
        <v>12</v>
      </c>
      <c r="B12" s="15">
        <v>0.5</v>
      </c>
      <c r="C12" s="19">
        <f>E12</f>
        <v>1.5</v>
      </c>
      <c r="D12" s="20">
        <f>E12</f>
        <v>1.5</v>
      </c>
      <c r="E12" s="20">
        <v>1.5</v>
      </c>
      <c r="F12" s="20">
        <f>E12</f>
        <v>1.5</v>
      </c>
      <c r="G12" s="20">
        <f>E12</f>
        <v>1.5</v>
      </c>
      <c r="H12" s="20">
        <f>E12</f>
        <v>1.5</v>
      </c>
      <c r="I12" s="20">
        <f>E12</f>
        <v>1.5</v>
      </c>
      <c r="J12" s="20">
        <f>E12</f>
        <v>1.5</v>
      </c>
      <c r="K12" s="20">
        <f>E12</f>
        <v>1.5</v>
      </c>
      <c r="L12" s="21">
        <f>F12</f>
        <v>1.5</v>
      </c>
    </row>
    <row r="13" spans="1:12" x14ac:dyDescent="0.3">
      <c r="A13" s="22" t="s">
        <v>13</v>
      </c>
      <c r="B13" s="15">
        <v>1</v>
      </c>
      <c r="C13" s="19">
        <f>D13</f>
        <v>80</v>
      </c>
      <c r="D13" s="20">
        <f>E13</f>
        <v>80</v>
      </c>
      <c r="E13" s="20">
        <v>80</v>
      </c>
      <c r="F13" s="20">
        <f>E13</f>
        <v>80</v>
      </c>
      <c r="G13" s="20">
        <f t="shared" ref="G13:L13" si="8">F13</f>
        <v>80</v>
      </c>
      <c r="H13" s="20">
        <f t="shared" si="8"/>
        <v>80</v>
      </c>
      <c r="I13" s="20">
        <f t="shared" si="8"/>
        <v>80</v>
      </c>
      <c r="J13" s="20">
        <f t="shared" si="8"/>
        <v>80</v>
      </c>
      <c r="K13" s="20">
        <f t="shared" si="8"/>
        <v>80</v>
      </c>
      <c r="L13" s="21">
        <f t="shared" si="8"/>
        <v>80</v>
      </c>
    </row>
    <row r="14" spans="1:12" x14ac:dyDescent="0.3">
      <c r="A14" s="23" t="s">
        <v>14</v>
      </c>
      <c r="B14" s="15">
        <v>0.5</v>
      </c>
      <c r="C14" s="19">
        <f>E14</f>
        <v>4</v>
      </c>
      <c r="D14" s="20">
        <f>E14</f>
        <v>4</v>
      </c>
      <c r="E14" s="20">
        <v>4</v>
      </c>
      <c r="F14" s="20">
        <v>4</v>
      </c>
      <c r="G14" s="20">
        <f>E14</f>
        <v>4</v>
      </c>
      <c r="H14" s="20">
        <f>E14</f>
        <v>4</v>
      </c>
      <c r="I14" s="20">
        <f>E14</f>
        <v>4</v>
      </c>
      <c r="J14" s="20">
        <f>E14</f>
        <v>4</v>
      </c>
      <c r="K14" s="20">
        <f>E14</f>
        <v>4</v>
      </c>
      <c r="L14" s="21">
        <f>F14</f>
        <v>4</v>
      </c>
    </row>
    <row r="15" spans="1:12" x14ac:dyDescent="0.3">
      <c r="A15" s="23" t="s">
        <v>15</v>
      </c>
      <c r="B15" s="15">
        <v>0.5</v>
      </c>
      <c r="C15" s="16">
        <f>D15-0.5</f>
        <v>17</v>
      </c>
      <c r="D15" s="17">
        <f>E15-0</f>
        <v>17.5</v>
      </c>
      <c r="E15" s="17">
        <v>17.5</v>
      </c>
      <c r="F15" s="17">
        <f>E15+0.5</f>
        <v>18</v>
      </c>
      <c r="G15" s="17">
        <f>F15+0</f>
        <v>18</v>
      </c>
      <c r="H15" s="17">
        <f>G15+0.5</f>
        <v>18.5</v>
      </c>
      <c r="I15" s="17">
        <f>H15+0</f>
        <v>18.5</v>
      </c>
      <c r="J15" s="17">
        <f>I15+1</f>
        <v>19.5</v>
      </c>
      <c r="K15" s="17">
        <f>J15+0</f>
        <v>19.5</v>
      </c>
      <c r="L15" s="18">
        <f>K15+0</f>
        <v>19.5</v>
      </c>
    </row>
    <row r="16" spans="1:12" x14ac:dyDescent="0.3">
      <c r="A16" s="23" t="s">
        <v>16</v>
      </c>
      <c r="B16" s="15">
        <v>0.5</v>
      </c>
      <c r="C16" s="19">
        <v>4</v>
      </c>
      <c r="D16" s="20">
        <v>4</v>
      </c>
      <c r="E16" s="20">
        <v>4</v>
      </c>
      <c r="F16" s="20">
        <v>4</v>
      </c>
      <c r="G16" s="20">
        <v>4</v>
      </c>
      <c r="H16" s="20">
        <v>4</v>
      </c>
      <c r="I16" s="20">
        <v>4.5</v>
      </c>
      <c r="J16" s="20">
        <v>4.5</v>
      </c>
      <c r="K16" s="20">
        <v>4.5</v>
      </c>
      <c r="L16" s="21">
        <v>4.5</v>
      </c>
    </row>
    <row r="17" spans="1:12" x14ac:dyDescent="0.3">
      <c r="A17" s="23" t="s">
        <v>17</v>
      </c>
      <c r="B17" s="15">
        <v>0.5</v>
      </c>
      <c r="C17" s="16">
        <f>D17-0.5</f>
        <v>15.5</v>
      </c>
      <c r="D17" s="17">
        <f>E17-0</f>
        <v>16</v>
      </c>
      <c r="E17" s="17">
        <v>16</v>
      </c>
      <c r="F17" s="17">
        <f>E17+0.5</f>
        <v>16.5</v>
      </c>
      <c r="G17" s="17">
        <f>F17+0</f>
        <v>16.5</v>
      </c>
      <c r="H17" s="17">
        <f>G17+0.5</f>
        <v>17</v>
      </c>
      <c r="I17" s="17">
        <f>H17+0</f>
        <v>17</v>
      </c>
      <c r="J17" s="17">
        <f>I17+1</f>
        <v>18</v>
      </c>
      <c r="K17" s="17">
        <f>J17+0</f>
        <v>18</v>
      </c>
      <c r="L17" s="18">
        <f>K17+0</f>
        <v>18</v>
      </c>
    </row>
    <row r="18" spans="1:12" x14ac:dyDescent="0.3">
      <c r="A18" s="23" t="s">
        <v>18</v>
      </c>
      <c r="B18" s="15">
        <v>0</v>
      </c>
      <c r="C18" s="19">
        <f t="shared" ref="C18:C19" si="9">E18</f>
        <v>1.5</v>
      </c>
      <c r="D18" s="20">
        <f t="shared" ref="D18:D19" si="10">E18</f>
        <v>1.5</v>
      </c>
      <c r="E18" s="20">
        <v>1.5</v>
      </c>
      <c r="F18" s="20">
        <f t="shared" ref="F18:F19" si="11">E18</f>
        <v>1.5</v>
      </c>
      <c r="G18" s="20">
        <f t="shared" ref="G18:G19" si="12">E18</f>
        <v>1.5</v>
      </c>
      <c r="H18" s="20">
        <f t="shared" ref="H18:H19" si="13">E18</f>
        <v>1.5</v>
      </c>
      <c r="I18" s="20">
        <f t="shared" ref="I18:I19" si="14">E18</f>
        <v>1.5</v>
      </c>
      <c r="J18" s="20">
        <f t="shared" ref="J18:J19" si="15">E18</f>
        <v>1.5</v>
      </c>
      <c r="K18" s="20">
        <f>E18</f>
        <v>1.5</v>
      </c>
      <c r="L18" s="21">
        <f t="shared" ref="L18:L19" si="16">F18</f>
        <v>1.5</v>
      </c>
    </row>
    <row r="19" spans="1:12" x14ac:dyDescent="0.3">
      <c r="A19" s="23" t="s">
        <v>19</v>
      </c>
      <c r="B19" s="15">
        <v>0</v>
      </c>
      <c r="C19" s="19">
        <f t="shared" si="9"/>
        <v>5.5</v>
      </c>
      <c r="D19" s="20">
        <f t="shared" si="10"/>
        <v>5.5</v>
      </c>
      <c r="E19" s="20">
        <v>5.5</v>
      </c>
      <c r="F19" s="20">
        <f t="shared" si="11"/>
        <v>5.5</v>
      </c>
      <c r="G19" s="20">
        <f t="shared" si="12"/>
        <v>5.5</v>
      </c>
      <c r="H19" s="20">
        <f t="shared" si="13"/>
        <v>5.5</v>
      </c>
      <c r="I19" s="20">
        <f t="shared" si="14"/>
        <v>5.5</v>
      </c>
      <c r="J19" s="20">
        <f t="shared" si="15"/>
        <v>5.5</v>
      </c>
      <c r="K19" s="20">
        <f>E19</f>
        <v>5.5</v>
      </c>
      <c r="L19" s="21">
        <f t="shared" si="16"/>
        <v>5.5</v>
      </c>
    </row>
    <row r="20" spans="1:12" x14ac:dyDescent="0.3">
      <c r="A20" s="24" t="s">
        <v>20</v>
      </c>
      <c r="B20" s="15">
        <v>0.5</v>
      </c>
      <c r="C20" s="19">
        <f>D20-0.5</f>
        <v>6.5</v>
      </c>
      <c r="D20" s="20">
        <f>E20-0</f>
        <v>7</v>
      </c>
      <c r="E20" s="20">
        <v>7</v>
      </c>
      <c r="F20" s="20">
        <f>E20+0.5</f>
        <v>7.5</v>
      </c>
      <c r="G20" s="20">
        <f>F20+0</f>
        <v>7.5</v>
      </c>
      <c r="H20" s="20">
        <f>G20+0.5</f>
        <v>8</v>
      </c>
      <c r="I20" s="20">
        <f t="shared" ref="I20:I21" si="17">H20</f>
        <v>8</v>
      </c>
      <c r="J20" s="20">
        <f>I20+0.5</f>
        <v>8.5</v>
      </c>
      <c r="K20" s="20">
        <f t="shared" ref="K20:L21" si="18">J20</f>
        <v>8.5</v>
      </c>
      <c r="L20" s="21">
        <f t="shared" si="18"/>
        <v>8.5</v>
      </c>
    </row>
    <row r="21" spans="1:12" x14ac:dyDescent="0.3">
      <c r="A21" s="24" t="s">
        <v>21</v>
      </c>
      <c r="B21" s="15">
        <v>0.5</v>
      </c>
      <c r="C21" s="25">
        <f>D21-0.5</f>
        <v>3</v>
      </c>
      <c r="D21" s="26">
        <f>E21-0</f>
        <v>3.5</v>
      </c>
      <c r="E21" s="26">
        <v>3.5</v>
      </c>
      <c r="F21" s="26">
        <f>E21+0.5</f>
        <v>4</v>
      </c>
      <c r="G21" s="26">
        <f>F21+0</f>
        <v>4</v>
      </c>
      <c r="H21" s="26">
        <f>G21+0.5</f>
        <v>4.5</v>
      </c>
      <c r="I21" s="26">
        <f t="shared" si="17"/>
        <v>4.5</v>
      </c>
      <c r="J21" s="26">
        <f>I21+0.5</f>
        <v>5</v>
      </c>
      <c r="K21" s="26">
        <f t="shared" si="18"/>
        <v>5</v>
      </c>
      <c r="L21" s="27">
        <f t="shared" si="18"/>
        <v>5</v>
      </c>
    </row>
    <row r="22" spans="1:12" x14ac:dyDescent="0.3">
      <c r="A22" s="24" t="s">
        <v>22</v>
      </c>
      <c r="B22" s="28">
        <v>0.5</v>
      </c>
      <c r="C22" s="29">
        <f>D22</f>
        <v>11.5</v>
      </c>
      <c r="D22" s="30">
        <f>E22-0.5</f>
        <v>11.5</v>
      </c>
      <c r="E22" s="30">
        <v>12</v>
      </c>
      <c r="F22" s="31">
        <f>E22</f>
        <v>12</v>
      </c>
      <c r="G22" s="32">
        <f>F22+0.5</f>
        <v>12.5</v>
      </c>
      <c r="H22" s="30">
        <f>G22</f>
        <v>12.5</v>
      </c>
      <c r="I22" s="30">
        <f>H22+0.5</f>
        <v>13</v>
      </c>
      <c r="J22" s="30">
        <f>I22</f>
        <v>13</v>
      </c>
      <c r="K22" s="30">
        <f t="shared" ref="K22:K23" si="19">J22+0.5</f>
        <v>13.5</v>
      </c>
      <c r="L22" s="33">
        <f>K22</f>
        <v>13.5</v>
      </c>
    </row>
    <row r="23" spans="1:12" x14ac:dyDescent="0.3">
      <c r="A23" s="34" t="s">
        <v>23</v>
      </c>
      <c r="B23" s="35">
        <v>0.5</v>
      </c>
      <c r="C23" s="36">
        <f>D23</f>
        <v>8.5</v>
      </c>
      <c r="D23" s="30">
        <f>E23-0.5</f>
        <v>8.5</v>
      </c>
      <c r="E23" s="30">
        <v>9</v>
      </c>
      <c r="F23" s="30">
        <f>E23</f>
        <v>9</v>
      </c>
      <c r="G23" s="30">
        <f>F23+0.5</f>
        <v>9.5</v>
      </c>
      <c r="H23" s="30">
        <f>G23</f>
        <v>9.5</v>
      </c>
      <c r="I23" s="30">
        <f>H23+0.5</f>
        <v>10</v>
      </c>
      <c r="J23" s="30">
        <f>I23</f>
        <v>10</v>
      </c>
      <c r="K23" s="30">
        <f t="shared" si="19"/>
        <v>10.5</v>
      </c>
      <c r="L23" s="33">
        <f>K23</f>
        <v>10.5</v>
      </c>
    </row>
    <row r="24" spans="1:12" x14ac:dyDescent="0.3">
      <c r="A24" s="37" t="s">
        <v>24</v>
      </c>
      <c r="B24" s="38">
        <v>0.5</v>
      </c>
      <c r="C24" s="29">
        <f>D24-0.5</f>
        <v>16</v>
      </c>
      <c r="D24" s="39">
        <f>E24-0.5</f>
        <v>16.5</v>
      </c>
      <c r="E24" s="39">
        <v>17</v>
      </c>
      <c r="F24" s="39">
        <f>E24+0.5</f>
        <v>17.5</v>
      </c>
      <c r="G24" s="39">
        <f>F24+0.5</f>
        <v>18</v>
      </c>
      <c r="H24" s="39">
        <f>G24+0.5</f>
        <v>18.5</v>
      </c>
      <c r="I24" s="39">
        <f>H24+0.5</f>
        <v>19</v>
      </c>
      <c r="J24" s="39">
        <f t="shared" ref="J24:L25" si="20">I24+0.5</f>
        <v>19.5</v>
      </c>
      <c r="K24" s="39">
        <f t="shared" si="20"/>
        <v>20</v>
      </c>
      <c r="L24" s="40">
        <f t="shared" si="20"/>
        <v>20.5</v>
      </c>
    </row>
    <row r="25" spans="1:12" x14ac:dyDescent="0.3">
      <c r="A25" s="41" t="s">
        <v>25</v>
      </c>
      <c r="B25" s="42">
        <v>0.5</v>
      </c>
      <c r="C25" s="36">
        <f>D25-0.5</f>
        <v>16</v>
      </c>
      <c r="D25" s="30">
        <f>E25-0.5</f>
        <v>16.5</v>
      </c>
      <c r="E25" s="30">
        <v>17</v>
      </c>
      <c r="F25" s="30">
        <f>E25+0.5</f>
        <v>17.5</v>
      </c>
      <c r="G25" s="30">
        <f>F25+0.5</f>
        <v>18</v>
      </c>
      <c r="H25" s="30">
        <f>G25+0.5</f>
        <v>18.5</v>
      </c>
      <c r="I25" s="30">
        <f>H25+0.5</f>
        <v>19</v>
      </c>
      <c r="J25" s="30">
        <f t="shared" si="20"/>
        <v>19.5</v>
      </c>
      <c r="K25" s="30">
        <f t="shared" si="20"/>
        <v>20</v>
      </c>
      <c r="L25" s="43">
        <f t="shared" si="20"/>
        <v>20.5</v>
      </c>
    </row>
    <row r="26" spans="1:12" x14ac:dyDescent="0.3">
      <c r="A26" s="44" t="s">
        <v>26</v>
      </c>
      <c r="B26" s="42">
        <v>0.5</v>
      </c>
      <c r="C26" s="36">
        <f t="shared" ref="C26" si="21">E26</f>
        <v>0</v>
      </c>
      <c r="D26" s="30">
        <f t="shared" ref="D26" si="22">E26</f>
        <v>0</v>
      </c>
      <c r="E26" s="30"/>
      <c r="F26" s="30">
        <f t="shared" ref="F26" si="23">E26</f>
        <v>0</v>
      </c>
      <c r="G26" s="30">
        <f t="shared" ref="G26" si="24">E26</f>
        <v>0</v>
      </c>
      <c r="H26" s="30">
        <f t="shared" ref="H26" si="25">E26</f>
        <v>0</v>
      </c>
      <c r="I26" s="30">
        <f t="shared" ref="I26" si="26">E26</f>
        <v>0</v>
      </c>
      <c r="J26" s="30">
        <f t="shared" ref="J26" si="27">E26</f>
        <v>0</v>
      </c>
      <c r="K26" s="30">
        <f>E26</f>
        <v>0</v>
      </c>
      <c r="L26" s="43">
        <f t="shared" ref="L26" si="28">F26</f>
        <v>0</v>
      </c>
    </row>
    <row r="27" spans="1:12" x14ac:dyDescent="0.3">
      <c r="A27" s="45" t="s">
        <v>27</v>
      </c>
      <c r="B27" s="46">
        <v>0.5</v>
      </c>
      <c r="C27" s="47">
        <f>D27-0.5</f>
        <v>3</v>
      </c>
      <c r="D27" s="48">
        <f>E27-0.5</f>
        <v>3.5</v>
      </c>
      <c r="E27" s="48">
        <v>4</v>
      </c>
      <c r="F27" s="48">
        <f>E27+0.5</f>
        <v>4.5</v>
      </c>
      <c r="G27" s="48">
        <f>F27+0.5</f>
        <v>5</v>
      </c>
      <c r="H27" s="48">
        <f>G27+0.5</f>
        <v>5.5</v>
      </c>
      <c r="I27" s="48">
        <f>H27+0.5</f>
        <v>6</v>
      </c>
      <c r="J27" s="48">
        <f>I27+0.5</f>
        <v>6.5</v>
      </c>
      <c r="K27" s="48">
        <f t="shared" ref="K27" si="29">J27+0.5</f>
        <v>7</v>
      </c>
      <c r="L27" s="49">
        <f>K27+0.5</f>
        <v>7.5</v>
      </c>
    </row>
    <row r="29" spans="1:12" x14ac:dyDescent="0.3">
      <c r="A29" s="1" t="s">
        <v>28</v>
      </c>
    </row>
    <row r="30" spans="1:12" x14ac:dyDescent="0.3">
      <c r="A30" s="1" t="s">
        <v>29</v>
      </c>
    </row>
  </sheetData>
  <pageMargins left="0.25" right="0.25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7"/>
  <sheetViews>
    <sheetView tabSelected="1" topLeftCell="A15" zoomScale="110" zoomScaleNormal="110" workbookViewId="0">
      <selection activeCell="E24" sqref="E24"/>
    </sheetView>
  </sheetViews>
  <sheetFormatPr defaultColWidth="8.6640625" defaultRowHeight="14.4" x14ac:dyDescent="0.3"/>
  <cols>
    <col min="1" max="1" width="45.44140625" style="1" customWidth="1"/>
    <col min="2" max="2" width="8.6640625" style="1" customWidth="1"/>
    <col min="3" max="16384" width="8.6640625" style="1"/>
  </cols>
  <sheetData>
    <row r="1" spans="1:3" x14ac:dyDescent="0.3">
      <c r="A1" s="2" t="s">
        <v>30</v>
      </c>
      <c r="B1" s="3"/>
      <c r="C1" s="3"/>
    </row>
    <row r="2" spans="1:3" x14ac:dyDescent="0.3">
      <c r="A2" s="4" t="s">
        <v>1</v>
      </c>
      <c r="B2" s="5" t="s">
        <v>2</v>
      </c>
      <c r="C2" s="8">
        <v>32</v>
      </c>
    </row>
    <row r="3" spans="1:3" x14ac:dyDescent="0.3">
      <c r="A3" s="9" t="s">
        <v>3</v>
      </c>
      <c r="B3" s="10">
        <v>1</v>
      </c>
      <c r="C3" s="50">
        <v>42.5</v>
      </c>
    </row>
    <row r="4" spans="1:3" x14ac:dyDescent="0.3">
      <c r="A4" s="14" t="s">
        <v>31</v>
      </c>
      <c r="B4" s="15">
        <v>1</v>
      </c>
      <c r="C4" s="51">
        <v>51</v>
      </c>
    </row>
    <row r="5" spans="1:3" x14ac:dyDescent="0.3">
      <c r="A5" s="14" t="s">
        <v>5</v>
      </c>
      <c r="B5" s="15">
        <v>1</v>
      </c>
      <c r="C5" s="51">
        <v>56</v>
      </c>
    </row>
    <row r="6" spans="1:3" x14ac:dyDescent="0.3">
      <c r="A6" s="14" t="s">
        <v>6</v>
      </c>
      <c r="B6" s="15">
        <v>1</v>
      </c>
      <c r="C6" s="51">
        <v>30</v>
      </c>
    </row>
    <row r="7" spans="1:3" x14ac:dyDescent="0.3">
      <c r="A7" s="14" t="s">
        <v>7</v>
      </c>
      <c r="B7" s="15">
        <v>1</v>
      </c>
      <c r="C7" s="51">
        <v>40</v>
      </c>
    </row>
    <row r="8" spans="1:3" x14ac:dyDescent="0.3">
      <c r="A8" s="14" t="s">
        <v>8</v>
      </c>
      <c r="B8" s="15">
        <v>1</v>
      </c>
      <c r="C8" s="51">
        <v>35.5</v>
      </c>
    </row>
    <row r="9" spans="1:3" x14ac:dyDescent="0.3">
      <c r="A9" s="14" t="s">
        <v>9</v>
      </c>
      <c r="B9" s="15">
        <v>1</v>
      </c>
      <c r="C9" s="51">
        <v>33</v>
      </c>
    </row>
    <row r="10" spans="1:3" x14ac:dyDescent="0.3">
      <c r="A10" s="14" t="s">
        <v>10</v>
      </c>
      <c r="B10" s="15">
        <v>1</v>
      </c>
      <c r="C10" s="51">
        <v>32</v>
      </c>
    </row>
    <row r="11" spans="1:3" x14ac:dyDescent="0.3">
      <c r="A11" s="14" t="s">
        <v>11</v>
      </c>
      <c r="B11" s="15">
        <v>0.5</v>
      </c>
      <c r="C11" s="51">
        <v>29</v>
      </c>
    </row>
    <row r="12" spans="1:3" x14ac:dyDescent="0.3">
      <c r="A12" s="14" t="s">
        <v>12</v>
      </c>
      <c r="B12" s="15">
        <v>0.5</v>
      </c>
      <c r="C12" s="52">
        <v>1.5</v>
      </c>
    </row>
    <row r="13" spans="1:3" x14ac:dyDescent="0.3">
      <c r="A13" s="22" t="s">
        <v>13</v>
      </c>
      <c r="B13" s="15">
        <v>1</v>
      </c>
      <c r="C13" s="52">
        <v>80</v>
      </c>
    </row>
    <row r="14" spans="1:3" x14ac:dyDescent="0.3">
      <c r="A14" s="23" t="s">
        <v>14</v>
      </c>
      <c r="B14" s="15">
        <v>0.5</v>
      </c>
      <c r="C14" s="52">
        <v>4</v>
      </c>
    </row>
    <row r="15" spans="1:3" x14ac:dyDescent="0.3">
      <c r="A15" s="23" t="s">
        <v>15</v>
      </c>
      <c r="B15" s="15">
        <v>0.5</v>
      </c>
      <c r="C15" s="51">
        <v>17.5</v>
      </c>
    </row>
    <row r="16" spans="1:3" x14ac:dyDescent="0.3">
      <c r="A16" s="23" t="s">
        <v>16</v>
      </c>
      <c r="B16" s="15">
        <v>0.5</v>
      </c>
      <c r="C16" s="52">
        <v>4</v>
      </c>
    </row>
    <row r="17" spans="1:3" x14ac:dyDescent="0.3">
      <c r="A17" s="23" t="s">
        <v>17</v>
      </c>
      <c r="B17" s="15">
        <v>0.5</v>
      </c>
      <c r="C17" s="51">
        <v>16</v>
      </c>
    </row>
    <row r="18" spans="1:3" x14ac:dyDescent="0.3">
      <c r="A18" s="23" t="s">
        <v>18</v>
      </c>
      <c r="B18" s="15">
        <v>0</v>
      </c>
      <c r="C18" s="52">
        <v>1.5</v>
      </c>
    </row>
    <row r="19" spans="1:3" x14ac:dyDescent="0.3">
      <c r="A19" s="23" t="s">
        <v>19</v>
      </c>
      <c r="B19" s="15">
        <v>0</v>
      </c>
      <c r="C19" s="52">
        <v>5.5</v>
      </c>
    </row>
    <row r="20" spans="1:3" x14ac:dyDescent="0.3">
      <c r="A20" s="24" t="s">
        <v>20</v>
      </c>
      <c r="B20" s="15">
        <v>0.5</v>
      </c>
      <c r="C20" s="52">
        <v>7</v>
      </c>
    </row>
    <row r="21" spans="1:3" x14ac:dyDescent="0.3">
      <c r="A21" s="24" t="s">
        <v>21</v>
      </c>
      <c r="B21" s="15">
        <v>0.5</v>
      </c>
      <c r="C21" s="53">
        <v>3.5</v>
      </c>
    </row>
    <row r="22" spans="1:3" x14ac:dyDescent="0.3">
      <c r="A22" s="24" t="s">
        <v>22</v>
      </c>
      <c r="B22" s="28">
        <v>0.5</v>
      </c>
      <c r="C22" s="54">
        <v>12</v>
      </c>
    </row>
    <row r="23" spans="1:3" x14ac:dyDescent="0.3">
      <c r="A23" s="34" t="s">
        <v>23</v>
      </c>
      <c r="B23" s="35">
        <v>0.5</v>
      </c>
      <c r="C23" s="54">
        <v>9</v>
      </c>
    </row>
    <row r="24" spans="1:3" x14ac:dyDescent="0.3">
      <c r="A24" s="37" t="s">
        <v>24</v>
      </c>
      <c r="B24" s="38">
        <v>0.5</v>
      </c>
      <c r="C24" s="55">
        <v>17</v>
      </c>
    </row>
    <row r="25" spans="1:3" x14ac:dyDescent="0.3">
      <c r="A25" s="41" t="s">
        <v>25</v>
      </c>
      <c r="B25" s="42">
        <v>0.5</v>
      </c>
      <c r="C25" s="54">
        <v>17</v>
      </c>
    </row>
    <row r="26" spans="1:3" x14ac:dyDescent="0.3">
      <c r="A26" s="44" t="s">
        <v>26</v>
      </c>
      <c r="B26" s="42">
        <v>0.5</v>
      </c>
      <c r="C26" s="54"/>
    </row>
    <row r="27" spans="1:3" x14ac:dyDescent="0.3">
      <c r="A27" s="45" t="s">
        <v>27</v>
      </c>
      <c r="B27" s="46">
        <v>0.5</v>
      </c>
      <c r="C27" s="56">
        <v>4</v>
      </c>
    </row>
  </sheetData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ADAB1D509EE146BEEBD765699BB749" ma:contentTypeVersion="20" ma:contentTypeDescription="Create a new document." ma:contentTypeScope="" ma:versionID="f0c752b930dceb3a5591959a7faf9408">
  <xsd:schema xmlns:xsd="http://www.w3.org/2001/XMLSchema" xmlns:xs="http://www.w3.org/2001/XMLSchema" xmlns:p="http://schemas.microsoft.com/office/2006/metadata/properties" xmlns:ns2="ac0294f4-4970-4891-b816-102ab340a9f2" xmlns:ns3="8c902929-c11e-4be2-b1f0-be14cee91bf8" targetNamespace="http://schemas.microsoft.com/office/2006/metadata/properties" ma:root="true" ma:fieldsID="a92bb2dfa7e0f4bf0aabd630a8cf7e0a" ns2:_="" ns3:_="">
    <xsd:import namespace="ac0294f4-4970-4891-b816-102ab340a9f2"/>
    <xsd:import namespace="8c902929-c11e-4be2-b1f0-be14cee91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Status" minOccurs="0"/>
                <xsd:element ref="ns2:MediaServiceObjectDetectorVersions" minOccurs="0"/>
                <xsd:element ref="ns2:BLOCKAPPRO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294f4-4970-4891-b816-102ab340a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eae7cc-d08f-4d9c-af47-0001170d57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default="Incomplete" ma:internalName="Status">
      <xsd:simpleType>
        <xsd:restriction base="dms:Unknown">
          <xsd:enumeration value="Incomplete"/>
          <xsd:enumeration value="Complete"/>
          <xsd:enumeration value="Waiting for another sample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BLOCKAPPROVED" ma:index="26" nillable="true" ma:displayName="BLOCK APPROVED" ma:format="Dropdown" ma:internalName="BLOCKAPPROVED">
      <xsd:simpleType>
        <xsd:restriction base="dms:Choice">
          <xsd:enumeration value="APPROVAL DATE 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02929-c11e-4be2-b1f0-be14cee91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8ecc04-e826-4a7d-b941-794c1cb025d8}" ma:internalName="TaxCatchAll" ma:showField="CatchAllData" ma:web="8c902929-c11e-4be2-b1f0-be14cee91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294f4-4970-4891-b816-102ab340a9f2">
      <Terms xmlns="http://schemas.microsoft.com/office/infopath/2007/PartnerControls"/>
    </lcf76f155ced4ddcb4097134ff3c332f>
    <TaxCatchAll xmlns="8c902929-c11e-4be2-b1f0-be14cee91bf8" xsi:nil="true"/>
    <SharedWithUsers xmlns="8c902929-c11e-4be2-b1f0-be14cee91bf8">
      <UserInfo>
        <DisplayName>Myah Kennerley</DisplayName>
        <AccountId>6272</AccountId>
        <AccountType/>
      </UserInfo>
      <UserInfo>
        <DisplayName>Harry Thomas</DisplayName>
        <AccountId>40</AccountId>
        <AccountType/>
      </UserInfo>
      <UserInfo>
        <DisplayName>Taylor Smith</DisplayName>
        <AccountId>28</AccountId>
        <AccountType/>
      </UserInfo>
      <UserInfo>
        <DisplayName>Emily Berry</DisplayName>
        <AccountId>3987</AccountId>
        <AccountType/>
      </UserInfo>
      <UserInfo>
        <DisplayName>Isobel Cohen</DisplayName>
        <AccountId>6836</AccountId>
        <AccountType/>
      </UserInfo>
      <UserInfo>
        <DisplayName>Jack Wainwright</DisplayName>
        <AccountId>7297</AccountId>
        <AccountType/>
      </UserInfo>
      <UserInfo>
        <DisplayName>Isobel Platt</DisplayName>
        <AccountId>30</AccountId>
        <AccountType/>
      </UserInfo>
      <UserInfo>
        <DisplayName>Megan Moore</DisplayName>
        <AccountId>8732</AccountId>
        <AccountType/>
      </UserInfo>
      <UserInfo>
        <DisplayName>Meltem  Tagac</DisplayName>
        <AccountId>6210</AccountId>
        <AccountType/>
      </UserInfo>
      <UserInfo>
        <DisplayName>Gamze Ozdemir</DisplayName>
        <AccountId>8534</AccountId>
        <AccountType/>
      </UserInfo>
    </SharedWithUsers>
    <Status xmlns="ac0294f4-4970-4891-b816-102ab340a9f2">Incomplete</Status>
    <BLOCKAPPROVED xmlns="ac0294f4-4970-4891-b816-102ab340a9f2" xsi:nil="true"/>
  </documentManagement>
</p:properties>
</file>

<file path=customXml/itemProps1.xml><?xml version="1.0" encoding="utf-8"?>
<ds:datastoreItem xmlns:ds="http://schemas.openxmlformats.org/officeDocument/2006/customXml" ds:itemID="{981E556E-B1AD-4D7C-ACC7-5FC209693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294f4-4970-4891-b816-102ab340a9f2"/>
    <ds:schemaRef ds:uri="8c902929-c11e-4be2-b1f0-be14cee91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7AADDA-C935-4675-A831-E23CD8A261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3865E1-4741-4BAC-B0A4-862336C2B695}">
  <ds:schemaRefs>
    <ds:schemaRef ds:uri="http://schemas.microsoft.com/office/2006/metadata/properties"/>
    <ds:schemaRef ds:uri="http://schemas.microsoft.com/office/infopath/2007/PartnerControls"/>
    <ds:schemaRef ds:uri="ac0294f4-4970-4891-b816-102ab340a9f2"/>
    <ds:schemaRef ds:uri="8c902929-c11e-4be2-b1f0-be14cee91b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RIGID BAGGY  ELASTICATED WAIST</vt:lpstr>
      <vt:lpstr>RIGID BAGGY </vt:lpstr>
    </vt:vector>
  </TitlesOfParts>
  <Manager/>
  <Company>Boohoo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Jackson</dc:creator>
  <cp:keywords/>
  <dc:description/>
  <cp:lastModifiedBy>MKT Abbubakar</cp:lastModifiedBy>
  <cp:revision/>
  <dcterms:created xsi:type="dcterms:W3CDTF">2020-05-05T11:00:48Z</dcterms:created>
  <dcterms:modified xsi:type="dcterms:W3CDTF">2026-01-30T12:49:55Z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0x010100C0ADAB1D509EE146BEEBD765699BB749</vt:lpwstr>
  </property>
  <property fmtid="{D5CDD505-2E9C-101B-9397-08002B2CF9AE}" pid="3" name="Order">
    <vt:r8>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emplateUrl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  <property fmtid="{D5CDD505-2E9C-101B-9397-08002B2CF9AE}" pid="10" name="TriggerFlowInfo">
    <vt:lpwstr/>
  </property>
</Properties>
</file>