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hooplc.sharepoint.com/sites/Qualityworkbooks/Shared Documents/SPEC LIBRARY/APPROVED BLOCK SPEC LIBRARY/MENSWEAR/BOOHOOMAN/TROUSERS/"/>
    </mc:Choice>
  </mc:AlternateContent>
  <xr:revisionPtr revIDLastSave="48" documentId="8_{91E29774-60EE-468A-B722-84F0A563A68B}" xr6:coauthVersionLast="47" xr6:coauthVersionMax="47" xr10:uidLastSave="{71F0492C-33AF-48D3-8268-8E1F08D0B704}"/>
  <bookViews>
    <workbookView xWindow="-120" yWindow="-120" windowWidth="29040" windowHeight="15720" xr2:uid="{C6164233-FF8B-4D99-9CDC-FDF4C0247E56}"/>
  </bookViews>
  <sheets>
    <sheet name="FIXED WAIST" sheetId="1" r:id="rId1"/>
    <sheet name="TALL FIXED WAIST (2)" sheetId="4" state="hidden" r:id="rId2"/>
    <sheet name="ELASTICATED WAIST" sheetId="2" r:id="rId3"/>
    <sheet name="TALL ELASTICATED WAIST (2)" sheetId="5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2" l="1"/>
  <c r="G17" i="2" s="1"/>
  <c r="H17" i="2" s="1"/>
  <c r="I17" i="2" s="1"/>
  <c r="J17" i="2" s="1"/>
  <c r="K17" i="2" s="1"/>
  <c r="L17" i="2" s="1"/>
  <c r="D17" i="2"/>
  <c r="C17" i="2"/>
  <c r="F16" i="2"/>
  <c r="G16" i="2" s="1"/>
  <c r="H16" i="2" s="1"/>
  <c r="I16" i="2" s="1"/>
  <c r="J16" i="2" s="1"/>
  <c r="K16" i="2" s="1"/>
  <c r="L16" i="2" s="1"/>
  <c r="D16" i="2"/>
  <c r="C16" i="2"/>
  <c r="F15" i="2"/>
  <c r="G15" i="2" s="1"/>
  <c r="H15" i="2" s="1"/>
  <c r="I15" i="2" s="1"/>
  <c r="J15" i="2" s="1"/>
  <c r="K15" i="2" s="1"/>
  <c r="L15" i="2" s="1"/>
  <c r="D15" i="2"/>
  <c r="C15" i="2"/>
  <c r="F16" i="1"/>
  <c r="G16" i="1" s="1"/>
  <c r="H16" i="1" s="1"/>
  <c r="I16" i="1" s="1"/>
  <c r="J16" i="1" s="1"/>
  <c r="K16" i="1" s="1"/>
  <c r="L16" i="1" s="1"/>
  <c r="D16" i="1"/>
  <c r="C16" i="1"/>
  <c r="F15" i="1"/>
  <c r="G15" i="1" s="1"/>
  <c r="H15" i="1" s="1"/>
  <c r="I15" i="1" s="1"/>
  <c r="J15" i="1" s="1"/>
  <c r="K15" i="1" s="1"/>
  <c r="L15" i="1" s="1"/>
  <c r="D15" i="1"/>
  <c r="C15" i="1"/>
  <c r="G23" i="5"/>
  <c r="H23" i="5" s="1"/>
  <c r="I23" i="5" s="1"/>
  <c r="J23" i="5" s="1"/>
  <c r="K23" i="5" s="1"/>
  <c r="L23" i="5" s="1"/>
  <c r="E23" i="5"/>
  <c r="D23" i="5"/>
  <c r="C23" i="5"/>
  <c r="G22" i="5"/>
  <c r="H22" i="5" s="1"/>
  <c r="I22" i="5" s="1"/>
  <c r="J22" i="5" s="1"/>
  <c r="K22" i="5" s="1"/>
  <c r="L22" i="5" s="1"/>
  <c r="E22" i="5"/>
  <c r="D22" i="5"/>
  <c r="C22" i="5"/>
  <c r="L21" i="5"/>
  <c r="K21" i="5"/>
  <c r="J21" i="5"/>
  <c r="I21" i="5"/>
  <c r="H21" i="5"/>
  <c r="G21" i="5"/>
  <c r="E21" i="5"/>
  <c r="D21" i="5"/>
  <c r="C21" i="5"/>
  <c r="L20" i="5"/>
  <c r="K20" i="5"/>
  <c r="J20" i="5"/>
  <c r="I20" i="5"/>
  <c r="H20" i="5"/>
  <c r="G20" i="5"/>
  <c r="E20" i="5"/>
  <c r="D20" i="5"/>
  <c r="C20" i="5"/>
  <c r="G19" i="5"/>
  <c r="H19" i="5" s="1"/>
  <c r="I19" i="5" s="1"/>
  <c r="J19" i="5" s="1"/>
  <c r="K19" i="5" s="1"/>
  <c r="L19" i="5" s="1"/>
  <c r="E19" i="5"/>
  <c r="D19" i="5"/>
  <c r="C19" i="5"/>
  <c r="I18" i="5"/>
  <c r="L18" i="5" s="1"/>
  <c r="H18" i="5"/>
  <c r="K18" i="5" s="1"/>
  <c r="G18" i="5"/>
  <c r="J18" i="5" s="1"/>
  <c r="E18" i="5"/>
  <c r="D18" i="5"/>
  <c r="C18" i="5"/>
  <c r="G17" i="5"/>
  <c r="H17" i="5" s="1"/>
  <c r="I17" i="5" s="1"/>
  <c r="J17" i="5" s="1"/>
  <c r="K17" i="5" s="1"/>
  <c r="L17" i="5" s="1"/>
  <c r="E17" i="5"/>
  <c r="D17" i="5"/>
  <c r="C17" i="5"/>
  <c r="L16" i="5"/>
  <c r="K16" i="5"/>
  <c r="J16" i="5"/>
  <c r="I16" i="5"/>
  <c r="H16" i="5"/>
  <c r="G16" i="5"/>
  <c r="E16" i="5"/>
  <c r="D16" i="5"/>
  <c r="C16" i="5"/>
  <c r="G15" i="5"/>
  <c r="H15" i="5" s="1"/>
  <c r="I15" i="5" s="1"/>
  <c r="J15" i="5" s="1"/>
  <c r="K15" i="5" s="1"/>
  <c r="L15" i="5" s="1"/>
  <c r="E15" i="5"/>
  <c r="D15" i="5"/>
  <c r="C15" i="5"/>
  <c r="L14" i="5"/>
  <c r="K14" i="5"/>
  <c r="J14" i="5"/>
  <c r="I14" i="5"/>
  <c r="H14" i="5"/>
  <c r="G14" i="5"/>
  <c r="E14" i="5"/>
  <c r="D14" i="5"/>
  <c r="C14" i="5"/>
  <c r="L13" i="5"/>
  <c r="K13" i="5"/>
  <c r="J13" i="5"/>
  <c r="I13" i="5"/>
  <c r="H13" i="5"/>
  <c r="G13" i="5"/>
  <c r="E13" i="5"/>
  <c r="D13" i="5"/>
  <c r="C13" i="5"/>
  <c r="G12" i="5"/>
  <c r="H12" i="5" s="1"/>
  <c r="I12" i="5" s="1"/>
  <c r="J12" i="5" s="1"/>
  <c r="K12" i="5" s="1"/>
  <c r="L12" i="5" s="1"/>
  <c r="E12" i="5"/>
  <c r="D12" i="5"/>
  <c r="C12" i="5"/>
  <c r="G11" i="5"/>
  <c r="H11" i="5" s="1"/>
  <c r="I11" i="5" s="1"/>
  <c r="J11" i="5" s="1"/>
  <c r="K11" i="5" s="1"/>
  <c r="L11" i="5" s="1"/>
  <c r="E11" i="5"/>
  <c r="D11" i="5"/>
  <c r="C11" i="5"/>
  <c r="G10" i="5"/>
  <c r="H10" i="5" s="1"/>
  <c r="I10" i="5" s="1"/>
  <c r="J10" i="5" s="1"/>
  <c r="K10" i="5" s="1"/>
  <c r="L10" i="5" s="1"/>
  <c r="E10" i="5"/>
  <c r="D10" i="5"/>
  <c r="C10" i="5"/>
  <c r="G9" i="5"/>
  <c r="H9" i="5" s="1"/>
  <c r="I9" i="5" s="1"/>
  <c r="J9" i="5" s="1"/>
  <c r="K9" i="5" s="1"/>
  <c r="L9" i="5" s="1"/>
  <c r="E9" i="5"/>
  <c r="D9" i="5"/>
  <c r="C9" i="5"/>
  <c r="G8" i="5"/>
  <c r="H8" i="5" s="1"/>
  <c r="I8" i="5" s="1"/>
  <c r="J8" i="5" s="1"/>
  <c r="K8" i="5" s="1"/>
  <c r="L8" i="5" s="1"/>
  <c r="E8" i="5"/>
  <c r="D8" i="5"/>
  <c r="C8" i="5"/>
  <c r="G7" i="5"/>
  <c r="H7" i="5" s="1"/>
  <c r="I7" i="5" s="1"/>
  <c r="J7" i="5" s="1"/>
  <c r="K7" i="5" s="1"/>
  <c r="L7" i="5" s="1"/>
  <c r="E7" i="5"/>
  <c r="D7" i="5"/>
  <c r="C7" i="5"/>
  <c r="G6" i="5"/>
  <c r="H6" i="5" s="1"/>
  <c r="I6" i="5" s="1"/>
  <c r="J6" i="5" s="1"/>
  <c r="K6" i="5" s="1"/>
  <c r="L6" i="5" s="1"/>
  <c r="E6" i="5"/>
  <c r="D6" i="5"/>
  <c r="C6" i="5"/>
  <c r="G5" i="5"/>
  <c r="H5" i="5" s="1"/>
  <c r="I5" i="5" s="1"/>
  <c r="J5" i="5" s="1"/>
  <c r="K5" i="5" s="1"/>
  <c r="L5" i="5" s="1"/>
  <c r="E5" i="5"/>
  <c r="D5" i="5"/>
  <c r="C5" i="5"/>
  <c r="G4" i="5"/>
  <c r="H4" i="5" s="1"/>
  <c r="I4" i="5" s="1"/>
  <c r="J4" i="5" s="1"/>
  <c r="K4" i="5" s="1"/>
  <c r="L4" i="5" s="1"/>
  <c r="E4" i="5"/>
  <c r="D4" i="5"/>
  <c r="C4" i="5"/>
  <c r="G3" i="5"/>
  <c r="H3" i="5" s="1"/>
  <c r="I3" i="5" s="1"/>
  <c r="J3" i="5" s="1"/>
  <c r="K3" i="5" s="1"/>
  <c r="L3" i="5" s="1"/>
  <c r="E3" i="5"/>
  <c r="D3" i="5"/>
  <c r="C3" i="5"/>
  <c r="G22" i="4"/>
  <c r="H22" i="4" s="1"/>
  <c r="I22" i="4" s="1"/>
  <c r="J22" i="4" s="1"/>
  <c r="K22" i="4" s="1"/>
  <c r="L22" i="4" s="1"/>
  <c r="E22" i="4"/>
  <c r="D22" i="4"/>
  <c r="C22" i="4"/>
  <c r="G21" i="4"/>
  <c r="H21" i="4" s="1"/>
  <c r="I21" i="4" s="1"/>
  <c r="J21" i="4" s="1"/>
  <c r="K21" i="4" s="1"/>
  <c r="L21" i="4" s="1"/>
  <c r="E21" i="4"/>
  <c r="D21" i="4"/>
  <c r="C21" i="4"/>
  <c r="L20" i="4"/>
  <c r="K20" i="4"/>
  <c r="J20" i="4"/>
  <c r="I20" i="4"/>
  <c r="H20" i="4"/>
  <c r="G20" i="4"/>
  <c r="E20" i="4"/>
  <c r="D20" i="4"/>
  <c r="C20" i="4"/>
  <c r="L19" i="4"/>
  <c r="K19" i="4"/>
  <c r="J19" i="4"/>
  <c r="I19" i="4"/>
  <c r="H19" i="4"/>
  <c r="G19" i="4"/>
  <c r="E19" i="4"/>
  <c r="D19" i="4"/>
  <c r="C19" i="4"/>
  <c r="G18" i="4"/>
  <c r="H18" i="4" s="1"/>
  <c r="I18" i="4" s="1"/>
  <c r="J18" i="4" s="1"/>
  <c r="K18" i="4" s="1"/>
  <c r="L18" i="4" s="1"/>
  <c r="E18" i="4"/>
  <c r="D18" i="4"/>
  <c r="C18" i="4"/>
  <c r="I17" i="4"/>
  <c r="L17" i="4" s="1"/>
  <c r="H17" i="4"/>
  <c r="K17" i="4" s="1"/>
  <c r="G17" i="4"/>
  <c r="J17" i="4" s="1"/>
  <c r="E17" i="4"/>
  <c r="D17" i="4"/>
  <c r="C17" i="4"/>
  <c r="G16" i="4"/>
  <c r="H16" i="4" s="1"/>
  <c r="I16" i="4" s="1"/>
  <c r="J16" i="4" s="1"/>
  <c r="K16" i="4" s="1"/>
  <c r="L16" i="4" s="1"/>
  <c r="E16" i="4"/>
  <c r="D16" i="4"/>
  <c r="C16" i="4"/>
  <c r="L15" i="4"/>
  <c r="K15" i="4"/>
  <c r="J15" i="4"/>
  <c r="I15" i="4"/>
  <c r="H15" i="4"/>
  <c r="G15" i="4"/>
  <c r="E15" i="4"/>
  <c r="D15" i="4"/>
  <c r="C15" i="4"/>
  <c r="G14" i="4"/>
  <c r="H14" i="4" s="1"/>
  <c r="I14" i="4" s="1"/>
  <c r="J14" i="4" s="1"/>
  <c r="K14" i="4" s="1"/>
  <c r="L14" i="4" s="1"/>
  <c r="E14" i="4"/>
  <c r="D14" i="4"/>
  <c r="C14" i="4"/>
  <c r="L13" i="4"/>
  <c r="K13" i="4"/>
  <c r="J13" i="4"/>
  <c r="I13" i="4"/>
  <c r="H13" i="4"/>
  <c r="G13" i="4"/>
  <c r="E13" i="4"/>
  <c r="D13" i="4"/>
  <c r="C13" i="4"/>
  <c r="L12" i="4"/>
  <c r="K12" i="4"/>
  <c r="J12" i="4"/>
  <c r="I12" i="4"/>
  <c r="H12" i="4"/>
  <c r="G12" i="4"/>
  <c r="E12" i="4"/>
  <c r="D12" i="4"/>
  <c r="C12" i="4"/>
  <c r="G11" i="4"/>
  <c r="H11" i="4" s="1"/>
  <c r="I11" i="4" s="1"/>
  <c r="J11" i="4" s="1"/>
  <c r="K11" i="4" s="1"/>
  <c r="L11" i="4" s="1"/>
  <c r="E11" i="4"/>
  <c r="D11" i="4"/>
  <c r="C11" i="4"/>
  <c r="G10" i="4"/>
  <c r="H10" i="4" s="1"/>
  <c r="I10" i="4" s="1"/>
  <c r="J10" i="4" s="1"/>
  <c r="K10" i="4" s="1"/>
  <c r="L10" i="4" s="1"/>
  <c r="E10" i="4"/>
  <c r="D10" i="4"/>
  <c r="C10" i="4"/>
  <c r="G9" i="4"/>
  <c r="H9" i="4" s="1"/>
  <c r="I9" i="4" s="1"/>
  <c r="J9" i="4" s="1"/>
  <c r="K9" i="4" s="1"/>
  <c r="L9" i="4" s="1"/>
  <c r="E9" i="4"/>
  <c r="D9" i="4"/>
  <c r="C9" i="4"/>
  <c r="G8" i="4"/>
  <c r="H8" i="4" s="1"/>
  <c r="I8" i="4" s="1"/>
  <c r="J8" i="4" s="1"/>
  <c r="K8" i="4" s="1"/>
  <c r="L8" i="4" s="1"/>
  <c r="E8" i="4"/>
  <c r="D8" i="4"/>
  <c r="C8" i="4"/>
  <c r="G7" i="4"/>
  <c r="H7" i="4" s="1"/>
  <c r="I7" i="4" s="1"/>
  <c r="J7" i="4" s="1"/>
  <c r="K7" i="4" s="1"/>
  <c r="L7" i="4" s="1"/>
  <c r="E7" i="4"/>
  <c r="D7" i="4"/>
  <c r="C7" i="4"/>
  <c r="G6" i="4"/>
  <c r="H6" i="4" s="1"/>
  <c r="I6" i="4" s="1"/>
  <c r="J6" i="4" s="1"/>
  <c r="K6" i="4" s="1"/>
  <c r="L6" i="4" s="1"/>
  <c r="E6" i="4"/>
  <c r="D6" i="4"/>
  <c r="C6" i="4"/>
  <c r="G5" i="4"/>
  <c r="H5" i="4" s="1"/>
  <c r="I5" i="4" s="1"/>
  <c r="J5" i="4" s="1"/>
  <c r="K5" i="4" s="1"/>
  <c r="L5" i="4" s="1"/>
  <c r="E5" i="4"/>
  <c r="D5" i="4"/>
  <c r="C5" i="4"/>
  <c r="G4" i="4"/>
  <c r="H4" i="4" s="1"/>
  <c r="I4" i="4" s="1"/>
  <c r="J4" i="4" s="1"/>
  <c r="K4" i="4" s="1"/>
  <c r="L4" i="4" s="1"/>
  <c r="E4" i="4"/>
  <c r="D4" i="4"/>
  <c r="C4" i="4"/>
  <c r="G3" i="4"/>
  <c r="H3" i="4" s="1"/>
  <c r="I3" i="4" s="1"/>
  <c r="J3" i="4" s="1"/>
  <c r="K3" i="4" s="1"/>
  <c r="L3" i="4" s="1"/>
  <c r="E3" i="4"/>
  <c r="D3" i="4"/>
  <c r="C3" i="4"/>
  <c r="G25" i="2"/>
  <c r="H25" i="2" s="1"/>
  <c r="I25" i="2" s="1"/>
  <c r="J25" i="2" s="1"/>
  <c r="K25" i="2" s="1"/>
  <c r="L25" i="2" s="1"/>
  <c r="E25" i="2"/>
  <c r="D25" i="2" s="1"/>
  <c r="C25" i="2" s="1"/>
  <c r="G24" i="2"/>
  <c r="H24" i="2" s="1"/>
  <c r="I24" i="2" s="1"/>
  <c r="J24" i="2" s="1"/>
  <c r="K24" i="2" s="1"/>
  <c r="L24" i="2" s="1"/>
  <c r="E24" i="2"/>
  <c r="D24" i="2" s="1"/>
  <c r="C24" i="2" s="1"/>
  <c r="L23" i="2"/>
  <c r="K23" i="2"/>
  <c r="J23" i="2"/>
  <c r="I23" i="2"/>
  <c r="H23" i="2"/>
  <c r="G23" i="2"/>
  <c r="E23" i="2"/>
  <c r="D23" i="2"/>
  <c r="C23" i="2"/>
  <c r="L22" i="2"/>
  <c r="K22" i="2"/>
  <c r="J22" i="2"/>
  <c r="I22" i="2"/>
  <c r="H22" i="2"/>
  <c r="G22" i="2"/>
  <c r="E22" i="2"/>
  <c r="D22" i="2"/>
  <c r="C22" i="2"/>
  <c r="G21" i="2"/>
  <c r="H21" i="2" s="1"/>
  <c r="I21" i="2" s="1"/>
  <c r="J21" i="2" s="1"/>
  <c r="K21" i="2" s="1"/>
  <c r="L21" i="2" s="1"/>
  <c r="E21" i="2"/>
  <c r="D21" i="2" s="1"/>
  <c r="C21" i="2" s="1"/>
  <c r="I20" i="2"/>
  <c r="L20" i="2" s="1"/>
  <c r="H20" i="2"/>
  <c r="K20" i="2" s="1"/>
  <c r="G20" i="2"/>
  <c r="J20" i="2" s="1"/>
  <c r="E20" i="2"/>
  <c r="D20" i="2"/>
  <c r="C20" i="2"/>
  <c r="G19" i="2"/>
  <c r="H19" i="2" s="1"/>
  <c r="I19" i="2" s="1"/>
  <c r="J19" i="2" s="1"/>
  <c r="K19" i="2" s="1"/>
  <c r="L19" i="2" s="1"/>
  <c r="E19" i="2"/>
  <c r="D19" i="2" s="1"/>
  <c r="C19" i="2" s="1"/>
  <c r="L18" i="2"/>
  <c r="K18" i="2"/>
  <c r="J18" i="2"/>
  <c r="I18" i="2"/>
  <c r="H18" i="2"/>
  <c r="G18" i="2"/>
  <c r="E18" i="2"/>
  <c r="D18" i="2"/>
  <c r="C18" i="2"/>
  <c r="L14" i="2"/>
  <c r="K14" i="2"/>
  <c r="J14" i="2"/>
  <c r="I14" i="2"/>
  <c r="H14" i="2"/>
  <c r="G14" i="2"/>
  <c r="E14" i="2"/>
  <c r="D14" i="2"/>
  <c r="C14" i="2"/>
  <c r="L13" i="2"/>
  <c r="K13" i="2"/>
  <c r="J13" i="2"/>
  <c r="I13" i="2"/>
  <c r="H13" i="2"/>
  <c r="G13" i="2"/>
  <c r="E13" i="2"/>
  <c r="D13" i="2"/>
  <c r="C13" i="2"/>
  <c r="G12" i="2"/>
  <c r="H12" i="2" s="1"/>
  <c r="I12" i="2" s="1"/>
  <c r="J12" i="2" s="1"/>
  <c r="K12" i="2" s="1"/>
  <c r="L12" i="2" s="1"/>
  <c r="E12" i="2"/>
  <c r="D12" i="2" s="1"/>
  <c r="C12" i="2" s="1"/>
  <c r="G11" i="2"/>
  <c r="H11" i="2" s="1"/>
  <c r="I11" i="2" s="1"/>
  <c r="J11" i="2" s="1"/>
  <c r="K11" i="2" s="1"/>
  <c r="L11" i="2" s="1"/>
  <c r="E11" i="2"/>
  <c r="D11" i="2" s="1"/>
  <c r="C11" i="2" s="1"/>
  <c r="G10" i="2"/>
  <c r="H10" i="2" s="1"/>
  <c r="I10" i="2" s="1"/>
  <c r="J10" i="2" s="1"/>
  <c r="K10" i="2" s="1"/>
  <c r="L10" i="2" s="1"/>
  <c r="E10" i="2"/>
  <c r="D10" i="2"/>
  <c r="C10" i="2" s="1"/>
  <c r="G9" i="2"/>
  <c r="H9" i="2" s="1"/>
  <c r="I9" i="2" s="1"/>
  <c r="J9" i="2" s="1"/>
  <c r="K9" i="2" s="1"/>
  <c r="L9" i="2" s="1"/>
  <c r="E9" i="2"/>
  <c r="D9" i="2" s="1"/>
  <c r="C9" i="2" s="1"/>
  <c r="G8" i="2"/>
  <c r="H8" i="2" s="1"/>
  <c r="I8" i="2" s="1"/>
  <c r="J8" i="2" s="1"/>
  <c r="K8" i="2" s="1"/>
  <c r="L8" i="2" s="1"/>
  <c r="E8" i="2"/>
  <c r="D8" i="2" s="1"/>
  <c r="C8" i="2" s="1"/>
  <c r="G7" i="2"/>
  <c r="H7" i="2" s="1"/>
  <c r="I7" i="2" s="1"/>
  <c r="J7" i="2" s="1"/>
  <c r="K7" i="2" s="1"/>
  <c r="L7" i="2" s="1"/>
  <c r="E7" i="2"/>
  <c r="D7" i="2" s="1"/>
  <c r="C7" i="2" s="1"/>
  <c r="G6" i="2"/>
  <c r="H6" i="2" s="1"/>
  <c r="I6" i="2" s="1"/>
  <c r="J6" i="2" s="1"/>
  <c r="K6" i="2" s="1"/>
  <c r="L6" i="2" s="1"/>
  <c r="E6" i="2"/>
  <c r="D6" i="2" s="1"/>
  <c r="C6" i="2" s="1"/>
  <c r="G5" i="2"/>
  <c r="H5" i="2" s="1"/>
  <c r="I5" i="2" s="1"/>
  <c r="J5" i="2" s="1"/>
  <c r="K5" i="2" s="1"/>
  <c r="L5" i="2" s="1"/>
  <c r="E5" i="2"/>
  <c r="D5" i="2" s="1"/>
  <c r="C5" i="2" s="1"/>
  <c r="G4" i="2"/>
  <c r="H4" i="2" s="1"/>
  <c r="I4" i="2" s="1"/>
  <c r="J4" i="2" s="1"/>
  <c r="K4" i="2" s="1"/>
  <c r="L4" i="2" s="1"/>
  <c r="E4" i="2"/>
  <c r="D4" i="2" s="1"/>
  <c r="C4" i="2" s="1"/>
  <c r="G3" i="2"/>
  <c r="H3" i="2" s="1"/>
  <c r="I3" i="2" s="1"/>
  <c r="J3" i="2" s="1"/>
  <c r="K3" i="2" s="1"/>
  <c r="L3" i="2" s="1"/>
  <c r="E3" i="2"/>
  <c r="D3" i="2" s="1"/>
  <c r="C3" i="2" s="1"/>
  <c r="F24" i="1"/>
  <c r="G24" i="1" s="1"/>
  <c r="H24" i="1" s="1"/>
  <c r="I24" i="1" s="1"/>
  <c r="J24" i="1" s="1"/>
  <c r="K24" i="1" s="1"/>
  <c r="L24" i="1" s="1"/>
  <c r="D24" i="1"/>
  <c r="C24" i="1" s="1"/>
  <c r="F23" i="1"/>
  <c r="G23" i="1" s="1"/>
  <c r="H23" i="1" s="1"/>
  <c r="I23" i="1" s="1"/>
  <c r="J23" i="1" s="1"/>
  <c r="K23" i="1" s="1"/>
  <c r="L23" i="1" s="1"/>
  <c r="D23" i="1"/>
  <c r="C23" i="1" s="1"/>
  <c r="K22" i="1"/>
  <c r="J22" i="1"/>
  <c r="I22" i="1"/>
  <c r="H22" i="1"/>
  <c r="G22" i="1"/>
  <c r="F22" i="1"/>
  <c r="L22" i="1" s="1"/>
  <c r="D22" i="1"/>
  <c r="C22" i="1"/>
  <c r="K21" i="1"/>
  <c r="J21" i="1"/>
  <c r="I21" i="1"/>
  <c r="H21" i="1"/>
  <c r="G21" i="1"/>
  <c r="F21" i="1"/>
  <c r="L21" i="1" s="1"/>
  <c r="D21" i="1"/>
  <c r="C21" i="1"/>
  <c r="F20" i="1"/>
  <c r="G20" i="1" s="1"/>
  <c r="H20" i="1" s="1"/>
  <c r="I20" i="1" s="1"/>
  <c r="J20" i="1" s="1"/>
  <c r="K20" i="1" s="1"/>
  <c r="L20" i="1" s="1"/>
  <c r="D20" i="1"/>
  <c r="C20" i="1" s="1"/>
  <c r="H19" i="1"/>
  <c r="K19" i="1" s="1"/>
  <c r="G19" i="1"/>
  <c r="J19" i="1" s="1"/>
  <c r="F19" i="1"/>
  <c r="I19" i="1" s="1"/>
  <c r="L19" i="1" s="1"/>
  <c r="D19" i="1"/>
  <c r="C19" i="1"/>
  <c r="F18" i="1"/>
  <c r="G18" i="1" s="1"/>
  <c r="H18" i="1" s="1"/>
  <c r="I18" i="1" s="1"/>
  <c r="J18" i="1" s="1"/>
  <c r="K18" i="1" s="1"/>
  <c r="L18" i="1" s="1"/>
  <c r="D18" i="1"/>
  <c r="C18" i="1" s="1"/>
  <c r="K17" i="1"/>
  <c r="J17" i="1"/>
  <c r="I17" i="1"/>
  <c r="H17" i="1"/>
  <c r="G17" i="1"/>
  <c r="F17" i="1"/>
  <c r="L17" i="1" s="1"/>
  <c r="D17" i="1"/>
  <c r="C17" i="1"/>
  <c r="F14" i="1"/>
  <c r="G14" i="1" s="1"/>
  <c r="H14" i="1" s="1"/>
  <c r="I14" i="1" s="1"/>
  <c r="J14" i="1" s="1"/>
  <c r="K14" i="1" s="1"/>
  <c r="L14" i="1" s="1"/>
  <c r="D14" i="1"/>
  <c r="C14" i="1"/>
  <c r="K13" i="1"/>
  <c r="J13" i="1"/>
  <c r="I13" i="1"/>
  <c r="H13" i="1"/>
  <c r="G13" i="1"/>
  <c r="F13" i="1"/>
  <c r="L13" i="1" s="1"/>
  <c r="D13" i="1"/>
  <c r="C13" i="1"/>
  <c r="K12" i="1"/>
  <c r="J12" i="1"/>
  <c r="I12" i="1"/>
  <c r="H12" i="1"/>
  <c r="G12" i="1"/>
  <c r="F12" i="1"/>
  <c r="L12" i="1" s="1"/>
  <c r="D12" i="1"/>
  <c r="C12" i="1"/>
  <c r="F11" i="1"/>
  <c r="G11" i="1" s="1"/>
  <c r="H11" i="1" s="1"/>
  <c r="I11" i="1" s="1"/>
  <c r="J11" i="1" s="1"/>
  <c r="K11" i="1" s="1"/>
  <c r="L11" i="1" s="1"/>
  <c r="D11" i="1"/>
  <c r="C11" i="1" s="1"/>
  <c r="F10" i="1"/>
  <c r="G10" i="1" s="1"/>
  <c r="H10" i="1" s="1"/>
  <c r="I10" i="1" s="1"/>
  <c r="J10" i="1" s="1"/>
  <c r="K10" i="1" s="1"/>
  <c r="L10" i="1" s="1"/>
  <c r="D10" i="1"/>
  <c r="C10" i="1" s="1"/>
  <c r="F9" i="1"/>
  <c r="G9" i="1" s="1"/>
  <c r="H9" i="1" s="1"/>
  <c r="I9" i="1" s="1"/>
  <c r="J9" i="1" s="1"/>
  <c r="K9" i="1" s="1"/>
  <c r="L9" i="1" s="1"/>
  <c r="D9" i="1"/>
  <c r="C9" i="1" s="1"/>
  <c r="F8" i="1"/>
  <c r="G8" i="1" s="1"/>
  <c r="H8" i="1" s="1"/>
  <c r="I8" i="1" s="1"/>
  <c r="J8" i="1" s="1"/>
  <c r="K8" i="1" s="1"/>
  <c r="L8" i="1" s="1"/>
  <c r="D8" i="1"/>
  <c r="C8" i="1" s="1"/>
  <c r="F7" i="1"/>
  <c r="G7" i="1" s="1"/>
  <c r="H7" i="1" s="1"/>
  <c r="I7" i="1" s="1"/>
  <c r="J7" i="1" s="1"/>
  <c r="K7" i="1" s="1"/>
  <c r="L7" i="1" s="1"/>
  <c r="D7" i="1"/>
  <c r="C7" i="1" s="1"/>
  <c r="F6" i="1"/>
  <c r="G6" i="1" s="1"/>
  <c r="H6" i="1" s="1"/>
  <c r="I6" i="1" s="1"/>
  <c r="J6" i="1" s="1"/>
  <c r="K6" i="1" s="1"/>
  <c r="L6" i="1" s="1"/>
  <c r="D6" i="1"/>
  <c r="C6" i="1" s="1"/>
  <c r="F5" i="1"/>
  <c r="G5" i="1" s="1"/>
  <c r="H5" i="1" s="1"/>
  <c r="I5" i="1" s="1"/>
  <c r="J5" i="1" s="1"/>
  <c r="K5" i="1" s="1"/>
  <c r="L5" i="1" s="1"/>
  <c r="D5" i="1"/>
  <c r="C5" i="1" s="1"/>
  <c r="F4" i="1"/>
  <c r="G4" i="1" s="1"/>
  <c r="H4" i="1" s="1"/>
  <c r="I4" i="1" s="1"/>
  <c r="J4" i="1" s="1"/>
  <c r="K4" i="1" s="1"/>
  <c r="L4" i="1" s="1"/>
  <c r="D4" i="1"/>
  <c r="C4" i="1" s="1"/>
  <c r="F3" i="1"/>
  <c r="G3" i="1" s="1"/>
  <c r="H3" i="1" s="1"/>
  <c r="I3" i="1" s="1"/>
  <c r="J3" i="1" s="1"/>
  <c r="K3" i="1" s="1"/>
  <c r="L3" i="1" s="1"/>
  <c r="D3" i="1"/>
  <c r="C3" i="1" s="1"/>
</calcChain>
</file>

<file path=xl/sharedStrings.xml><?xml version="1.0" encoding="utf-8"?>
<sst xmlns="http://schemas.openxmlformats.org/spreadsheetml/2006/main" count="127" uniqueCount="40">
  <si>
    <t>Grade Rule</t>
  </si>
  <si>
    <t>Tolerance
+/-</t>
  </si>
  <si>
    <t>WAIST ALONG TOP EDGE</t>
  </si>
  <si>
    <t>TOP HIP 10CM DOWN FROM TOP OF WAISTBAND</t>
  </si>
  <si>
    <t>LOW HIP 20CM DOWN FROM TOP OF WAISTBAND</t>
  </si>
  <si>
    <t>FRONT RISE INCL WAISTBAND</t>
  </si>
  <si>
    <t>BACK RISE INCL WAISTBAND</t>
  </si>
  <si>
    <t>THIGH @ 2.5CM DOWN</t>
  </si>
  <si>
    <t xml:space="preserve">KNEE @ 35CM DOWN </t>
  </si>
  <si>
    <t>CALF @ 46CM DOWN</t>
  </si>
  <si>
    <t>LEG OPENING TROUSERS</t>
  </si>
  <si>
    <t>HEM DEPTH</t>
  </si>
  <si>
    <t>TURN UP DEPTH</t>
  </si>
  <si>
    <t>INSIDE LEG - CROPPED</t>
  </si>
  <si>
    <t>INSIDE LEG - REGULAR</t>
  </si>
  <si>
    <t>INSIDE LEG - STACKED</t>
  </si>
  <si>
    <t>WAISTBAND DEPTH</t>
  </si>
  <si>
    <t>FLY LENGTH</t>
  </si>
  <si>
    <t>FLY WIDTH</t>
  </si>
  <si>
    <t>ZIP LENGTH</t>
  </si>
  <si>
    <t>BELT LOOP WIDTH</t>
  </si>
  <si>
    <t>BELT LOOP LENGTH</t>
  </si>
  <si>
    <t>POCKET OPENING ALONG WAISTBAND</t>
  </si>
  <si>
    <t>POCKET DEPTH DOWN SIDE SEAM</t>
  </si>
  <si>
    <t>BAGGY FIT TROUSER</t>
  </si>
  <si>
    <t>XXS</t>
  </si>
  <si>
    <t>XS</t>
  </si>
  <si>
    <t>S</t>
  </si>
  <si>
    <t>M</t>
  </si>
  <si>
    <t>L</t>
  </si>
  <si>
    <t>XL</t>
  </si>
  <si>
    <t>2XL</t>
  </si>
  <si>
    <t>3XL</t>
  </si>
  <si>
    <t>4XL</t>
  </si>
  <si>
    <t>5XL</t>
  </si>
  <si>
    <r>
      <t xml:space="preserve">KNEE @ 35CM DOWN - </t>
    </r>
    <r>
      <rPr>
        <b/>
        <sz val="11"/>
        <color theme="1"/>
        <rFont val="Calibri"/>
        <family val="2"/>
        <scheme val="minor"/>
      </rPr>
      <t>STRAIGHT</t>
    </r>
  </si>
  <si>
    <r>
      <t xml:space="preserve">CALF @ 46CM DOWN - </t>
    </r>
    <r>
      <rPr>
        <b/>
        <sz val="11"/>
        <color theme="1"/>
        <rFont val="Calibri"/>
        <family val="2"/>
        <scheme val="minor"/>
      </rPr>
      <t>STRAIGHT</t>
    </r>
  </si>
  <si>
    <r>
      <t xml:space="preserve">LEG OPENING TROUSERS - </t>
    </r>
    <r>
      <rPr>
        <b/>
        <sz val="11"/>
        <color theme="1"/>
        <rFont val="Calibri"/>
        <family val="2"/>
        <scheme val="minor"/>
      </rPr>
      <t>STRAIGHT</t>
    </r>
  </si>
  <si>
    <t>INSIDE LEG</t>
  </si>
  <si>
    <r>
      <rPr>
        <b/>
        <sz val="11"/>
        <color rgb="FF000000"/>
        <rFont val="Calibri"/>
        <family val="2"/>
        <scheme val="minor"/>
      </rPr>
      <t xml:space="preserve">WAIST EXTENDED </t>
    </r>
    <r>
      <rPr>
        <b/>
        <i/>
        <sz val="11"/>
        <color rgb="FF000000"/>
        <rFont val="Calibri"/>
        <family val="2"/>
        <scheme val="minor"/>
      </rPr>
      <t>- ELASTICATED STYLES ONLY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</si>
</sst>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/>
      <top/>
      <bottom style="thin">
        <color theme="1" tint="0.499984740745262"/>
      </bottom>
      <diagonal/>
    </border>
    <border>
      <left style="medium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thin">
        <color theme="1" tint="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0" borderId="13" xfId="0" applyBorder="1"/>
    <xf numFmtId="0" fontId="4" fillId="0" borderId="14" xfId="0" applyFont="1" applyBorder="1"/>
    <xf numFmtId="0" fontId="0" fillId="0" borderId="14" xfId="0" applyBorder="1"/>
    <xf numFmtId="0" fontId="0" fillId="5" borderId="14" xfId="0" applyFill="1" applyBorder="1"/>
    <xf numFmtId="0" fontId="0" fillId="0" borderId="15" xfId="0" applyBorder="1"/>
    <xf numFmtId="0" fontId="0" fillId="5" borderId="15" xfId="0" applyFill="1" applyBorder="1"/>
    <xf numFmtId="0" fontId="0" fillId="5" borderId="16" xfId="0" applyFill="1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6" fillId="6" borderId="23" xfId="0" applyFont="1" applyFill="1" applyBorder="1" applyAlignment="1">
      <alignment horizontal="center" vertical="center"/>
    </xf>
    <xf numFmtId="0" fontId="6" fillId="6" borderId="24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CA9E8-E27C-4260-B740-FA9638FAE0D2}">
  <sheetPr codeName="Sheet42">
    <tabColor rgb="FFFF33CC"/>
    <pageSetUpPr fitToPage="1"/>
  </sheetPr>
  <dimension ref="A1:L25"/>
  <sheetViews>
    <sheetView tabSelected="1" zoomScale="96" zoomScaleNormal="96" workbookViewId="0">
      <selection activeCell="R22" sqref="R22:R23"/>
    </sheetView>
  </sheetViews>
  <sheetFormatPr defaultRowHeight="15" customHeight="1"/>
  <cols>
    <col min="1" max="1" width="49.7109375" customWidth="1"/>
    <col min="2" max="2" width="10.42578125" customWidth="1"/>
    <col min="5" max="5" width="8.42578125" customWidth="1"/>
  </cols>
  <sheetData>
    <row r="1" spans="1:12">
      <c r="A1" s="29" t="s">
        <v>0</v>
      </c>
      <c r="B1" s="31" t="s">
        <v>1</v>
      </c>
      <c r="C1" s="33"/>
      <c r="D1" s="33"/>
      <c r="E1" s="33"/>
      <c r="F1" s="33"/>
      <c r="G1" s="33"/>
      <c r="H1" s="33"/>
      <c r="I1" s="33"/>
      <c r="J1" s="33"/>
      <c r="K1" s="34"/>
    </row>
    <row r="2" spans="1:12">
      <c r="A2" s="30"/>
      <c r="B2" s="32"/>
      <c r="C2" s="25">
        <v>28</v>
      </c>
      <c r="D2" s="26">
        <v>30</v>
      </c>
      <c r="E2" s="27">
        <v>32</v>
      </c>
      <c r="F2" s="26">
        <v>34</v>
      </c>
      <c r="G2" s="26">
        <v>36</v>
      </c>
      <c r="H2" s="26">
        <v>38</v>
      </c>
      <c r="I2" s="26">
        <v>40</v>
      </c>
      <c r="J2" s="26">
        <v>42</v>
      </c>
      <c r="K2" s="28">
        <v>44</v>
      </c>
      <c r="L2" s="28">
        <v>46</v>
      </c>
    </row>
    <row r="3" spans="1:12">
      <c r="A3" s="11" t="s">
        <v>2</v>
      </c>
      <c r="B3" s="22">
        <v>1</v>
      </c>
      <c r="C3" s="5">
        <f t="shared" ref="C3:D5" si="0">D3-2.5</f>
        <v>37.5</v>
      </c>
      <c r="D3" s="5">
        <f t="shared" si="0"/>
        <v>40</v>
      </c>
      <c r="E3" s="5">
        <v>42.5</v>
      </c>
      <c r="F3" s="5">
        <f>E3+2.5</f>
        <v>45</v>
      </c>
      <c r="G3" s="5">
        <f t="shared" ref="G3:L5" si="1">F3+2.5</f>
        <v>47.5</v>
      </c>
      <c r="H3" s="5">
        <f t="shared" si="1"/>
        <v>50</v>
      </c>
      <c r="I3" s="5">
        <f t="shared" si="1"/>
        <v>52.5</v>
      </c>
      <c r="J3" s="5">
        <f t="shared" si="1"/>
        <v>55</v>
      </c>
      <c r="K3" s="6">
        <f t="shared" si="1"/>
        <v>57.5</v>
      </c>
      <c r="L3" s="6">
        <f t="shared" si="1"/>
        <v>60</v>
      </c>
    </row>
    <row r="4" spans="1:12" ht="13.5" customHeight="1">
      <c r="A4" s="13" t="s">
        <v>3</v>
      </c>
      <c r="B4" s="23">
        <v>1</v>
      </c>
      <c r="C4" s="3">
        <f t="shared" si="0"/>
        <v>46</v>
      </c>
      <c r="D4" s="3">
        <f t="shared" si="0"/>
        <v>48.5</v>
      </c>
      <c r="E4" s="3">
        <v>51</v>
      </c>
      <c r="F4" s="3">
        <f>E4+2.5</f>
        <v>53.5</v>
      </c>
      <c r="G4" s="3">
        <f t="shared" si="1"/>
        <v>56</v>
      </c>
      <c r="H4" s="3">
        <f t="shared" si="1"/>
        <v>58.5</v>
      </c>
      <c r="I4" s="3">
        <f t="shared" si="1"/>
        <v>61</v>
      </c>
      <c r="J4" s="3">
        <f t="shared" si="1"/>
        <v>63.5</v>
      </c>
      <c r="K4" s="7">
        <f t="shared" si="1"/>
        <v>66</v>
      </c>
      <c r="L4" s="7">
        <f t="shared" si="1"/>
        <v>68.5</v>
      </c>
    </row>
    <row r="5" spans="1:12">
      <c r="A5" s="13" t="s">
        <v>4</v>
      </c>
      <c r="B5" s="23">
        <v>1</v>
      </c>
      <c r="C5" s="3">
        <f t="shared" si="0"/>
        <v>51</v>
      </c>
      <c r="D5" s="3">
        <f t="shared" si="0"/>
        <v>53.5</v>
      </c>
      <c r="E5" s="3">
        <v>56</v>
      </c>
      <c r="F5" s="3">
        <f>E5+2.5</f>
        <v>58.5</v>
      </c>
      <c r="G5" s="3">
        <f t="shared" si="1"/>
        <v>61</v>
      </c>
      <c r="H5" s="3">
        <f t="shared" si="1"/>
        <v>63.5</v>
      </c>
      <c r="I5" s="3">
        <f t="shared" si="1"/>
        <v>66</v>
      </c>
      <c r="J5" s="3">
        <f t="shared" si="1"/>
        <v>68.5</v>
      </c>
      <c r="K5" s="7">
        <f t="shared" si="1"/>
        <v>71</v>
      </c>
      <c r="L5" s="7">
        <f t="shared" si="1"/>
        <v>73.5</v>
      </c>
    </row>
    <row r="6" spans="1:12">
      <c r="A6" s="13" t="s">
        <v>5</v>
      </c>
      <c r="B6" s="23">
        <v>1</v>
      </c>
      <c r="C6" s="3">
        <f t="shared" ref="C6:D7" si="2">D6-1</f>
        <v>27</v>
      </c>
      <c r="D6" s="3">
        <f t="shared" si="2"/>
        <v>28</v>
      </c>
      <c r="E6" s="3">
        <v>29</v>
      </c>
      <c r="F6" s="3">
        <f t="shared" ref="F6:G6" si="3">E6+1</f>
        <v>30</v>
      </c>
      <c r="G6" s="3">
        <f t="shared" si="3"/>
        <v>31</v>
      </c>
      <c r="H6" s="3">
        <f>G6+1.5</f>
        <v>32.5</v>
      </c>
      <c r="I6" s="3">
        <f>H6+1.5</f>
        <v>34</v>
      </c>
      <c r="J6" s="3">
        <f>I6+1.5</f>
        <v>35.5</v>
      </c>
      <c r="K6" s="7">
        <f>J6+1.5</f>
        <v>37</v>
      </c>
      <c r="L6" s="7">
        <f>K6+1.5</f>
        <v>38.5</v>
      </c>
    </row>
    <row r="7" spans="1:12">
      <c r="A7" s="13" t="s">
        <v>6</v>
      </c>
      <c r="B7" s="23">
        <v>1</v>
      </c>
      <c r="C7" s="3">
        <f t="shared" si="2"/>
        <v>37</v>
      </c>
      <c r="D7" s="3">
        <f t="shared" si="2"/>
        <v>38</v>
      </c>
      <c r="E7" s="3">
        <v>39</v>
      </c>
      <c r="F7" s="3">
        <f>E7+1.2</f>
        <v>40.200000000000003</v>
      </c>
      <c r="G7" s="3">
        <f t="shared" ref="G7" si="4">F7+1.2</f>
        <v>41.400000000000006</v>
      </c>
      <c r="H7" s="3">
        <f>G7+1.8</f>
        <v>43.2</v>
      </c>
      <c r="I7" s="3">
        <f>H7+1.8</f>
        <v>45</v>
      </c>
      <c r="J7" s="3">
        <f>I7+1.8</f>
        <v>46.8</v>
      </c>
      <c r="K7" s="7">
        <f>J7+1.8</f>
        <v>48.599999999999994</v>
      </c>
      <c r="L7" s="7">
        <f>K7+1.8</f>
        <v>50.399999999999991</v>
      </c>
    </row>
    <row r="8" spans="1:12">
      <c r="A8" s="13" t="s">
        <v>7</v>
      </c>
      <c r="B8" s="23">
        <v>1</v>
      </c>
      <c r="C8" s="3">
        <f t="shared" ref="C8:C9" si="5">D8-1.2</f>
        <v>33.099999999999994</v>
      </c>
      <c r="D8" s="3">
        <f>E8-1.2</f>
        <v>34.299999999999997</v>
      </c>
      <c r="E8" s="3">
        <v>35.5</v>
      </c>
      <c r="F8" s="3">
        <f>E8+1.5</f>
        <v>37</v>
      </c>
      <c r="G8" s="3">
        <f t="shared" ref="G8:L9" si="6">F8+1.5</f>
        <v>38.5</v>
      </c>
      <c r="H8" s="3">
        <f t="shared" si="6"/>
        <v>40</v>
      </c>
      <c r="I8" s="3">
        <f t="shared" si="6"/>
        <v>41.5</v>
      </c>
      <c r="J8" s="3">
        <f t="shared" si="6"/>
        <v>43</v>
      </c>
      <c r="K8" s="7">
        <f t="shared" si="6"/>
        <v>44.5</v>
      </c>
      <c r="L8" s="7">
        <f t="shared" si="6"/>
        <v>46</v>
      </c>
    </row>
    <row r="9" spans="1:12">
      <c r="A9" s="13" t="s">
        <v>8</v>
      </c>
      <c r="B9" s="23">
        <v>1</v>
      </c>
      <c r="C9" s="3">
        <f t="shared" si="5"/>
        <v>30.6</v>
      </c>
      <c r="D9" s="3">
        <f>E9-1.2</f>
        <v>31.8</v>
      </c>
      <c r="E9" s="3">
        <v>33</v>
      </c>
      <c r="F9" s="3">
        <f>E9+1.5</f>
        <v>34.5</v>
      </c>
      <c r="G9" s="3">
        <f t="shared" si="6"/>
        <v>36</v>
      </c>
      <c r="H9" s="3">
        <f t="shared" si="6"/>
        <v>37.5</v>
      </c>
      <c r="I9" s="3">
        <f t="shared" si="6"/>
        <v>39</v>
      </c>
      <c r="J9" s="3">
        <f t="shared" si="6"/>
        <v>40.5</v>
      </c>
      <c r="K9" s="7">
        <f t="shared" si="6"/>
        <v>42</v>
      </c>
      <c r="L9" s="7">
        <f t="shared" si="6"/>
        <v>43.5</v>
      </c>
    </row>
    <row r="10" spans="1:12">
      <c r="A10" s="13" t="s">
        <v>9</v>
      </c>
      <c r="B10" s="23">
        <v>1</v>
      </c>
      <c r="C10" s="3">
        <f t="shared" ref="C10:C11" si="7">D10-1.2</f>
        <v>29.6</v>
      </c>
      <c r="D10" s="3">
        <f>E10-1.2</f>
        <v>30.8</v>
      </c>
      <c r="E10" s="3">
        <v>32</v>
      </c>
      <c r="F10" s="3">
        <f>E10+1.5</f>
        <v>33.5</v>
      </c>
      <c r="G10" s="3">
        <f t="shared" ref="G10:L10" si="8">F10+1.5</f>
        <v>35</v>
      </c>
      <c r="H10" s="3">
        <f t="shared" si="8"/>
        <v>36.5</v>
      </c>
      <c r="I10" s="3">
        <f t="shared" si="8"/>
        <v>38</v>
      </c>
      <c r="J10" s="3">
        <f t="shared" si="8"/>
        <v>39.5</v>
      </c>
      <c r="K10" s="7">
        <f t="shared" si="8"/>
        <v>41</v>
      </c>
      <c r="L10" s="7">
        <f t="shared" si="8"/>
        <v>42.5</v>
      </c>
    </row>
    <row r="11" spans="1:12">
      <c r="A11" s="13" t="s">
        <v>10</v>
      </c>
      <c r="B11" s="23">
        <v>1</v>
      </c>
      <c r="C11" s="3">
        <f t="shared" si="7"/>
        <v>26.6</v>
      </c>
      <c r="D11" s="3">
        <f>E11-1.2</f>
        <v>27.8</v>
      </c>
      <c r="E11" s="3">
        <v>29</v>
      </c>
      <c r="F11" s="3">
        <f>E11+1.2</f>
        <v>30.2</v>
      </c>
      <c r="G11" s="3">
        <f t="shared" ref="G11:L11" si="9">F11+1.2</f>
        <v>31.4</v>
      </c>
      <c r="H11" s="3">
        <f t="shared" si="9"/>
        <v>32.6</v>
      </c>
      <c r="I11" s="3">
        <f t="shared" si="9"/>
        <v>33.800000000000004</v>
      </c>
      <c r="J11" s="3">
        <f t="shared" si="9"/>
        <v>35.000000000000007</v>
      </c>
      <c r="K11" s="7">
        <f t="shared" si="9"/>
        <v>36.20000000000001</v>
      </c>
      <c r="L11" s="7">
        <f t="shared" si="9"/>
        <v>37.400000000000013</v>
      </c>
    </row>
    <row r="12" spans="1:12">
      <c r="A12" s="13" t="s">
        <v>11</v>
      </c>
      <c r="B12" s="23">
        <v>0.5</v>
      </c>
      <c r="C12" s="4">
        <f>E12</f>
        <v>2.5</v>
      </c>
      <c r="D12" s="4">
        <f>E12</f>
        <v>2.5</v>
      </c>
      <c r="E12" s="4">
        <v>2.5</v>
      </c>
      <c r="F12" s="4">
        <f>E12</f>
        <v>2.5</v>
      </c>
      <c r="G12" s="4">
        <f>E12</f>
        <v>2.5</v>
      </c>
      <c r="H12" s="4">
        <f>E12</f>
        <v>2.5</v>
      </c>
      <c r="I12" s="4">
        <f>E12</f>
        <v>2.5</v>
      </c>
      <c r="J12" s="4">
        <f>E12</f>
        <v>2.5</v>
      </c>
      <c r="K12" s="8">
        <f>E12</f>
        <v>2.5</v>
      </c>
      <c r="L12" s="8">
        <f>F12</f>
        <v>2.5</v>
      </c>
    </row>
    <row r="13" spans="1:12">
      <c r="A13" s="13" t="s">
        <v>12</v>
      </c>
      <c r="B13" s="23">
        <v>0.5</v>
      </c>
      <c r="C13" s="4">
        <f t="shared" ref="C13:C14" si="10">E13</f>
        <v>0</v>
      </c>
      <c r="D13" s="4">
        <f t="shared" ref="D13:D14" si="11">E13</f>
        <v>0</v>
      </c>
      <c r="E13" s="4"/>
      <c r="F13" s="4">
        <f t="shared" ref="F13:F14" si="12">E13</f>
        <v>0</v>
      </c>
      <c r="G13" s="4">
        <f t="shared" ref="G13" si="13">E13</f>
        <v>0</v>
      </c>
      <c r="H13" s="4">
        <f t="shared" ref="H13" si="14">E13</f>
        <v>0</v>
      </c>
      <c r="I13" s="4">
        <f t="shared" ref="I13" si="15">E13</f>
        <v>0</v>
      </c>
      <c r="J13" s="4">
        <f t="shared" ref="J13" si="16">E13</f>
        <v>0</v>
      </c>
      <c r="K13" s="8">
        <f t="shared" ref="K13:L13" si="17">E13</f>
        <v>0</v>
      </c>
      <c r="L13" s="8">
        <f t="shared" si="17"/>
        <v>0</v>
      </c>
    </row>
    <row r="14" spans="1:12">
      <c r="A14" s="14" t="s">
        <v>13</v>
      </c>
      <c r="B14" s="23">
        <v>1</v>
      </c>
      <c r="C14" s="4">
        <f t="shared" si="10"/>
        <v>76</v>
      </c>
      <c r="D14" s="4">
        <f t="shared" si="11"/>
        <v>76</v>
      </c>
      <c r="E14" s="4">
        <v>76</v>
      </c>
      <c r="F14" s="4">
        <f t="shared" si="12"/>
        <v>76</v>
      </c>
      <c r="G14" s="4">
        <f>F14</f>
        <v>76</v>
      </c>
      <c r="H14" s="4">
        <f t="shared" ref="H14:L14" si="18">G14</f>
        <v>76</v>
      </c>
      <c r="I14" s="4">
        <f t="shared" si="18"/>
        <v>76</v>
      </c>
      <c r="J14" s="4">
        <f t="shared" si="18"/>
        <v>76</v>
      </c>
      <c r="K14" s="8">
        <f t="shared" si="18"/>
        <v>76</v>
      </c>
      <c r="L14" s="8">
        <f t="shared" si="18"/>
        <v>76</v>
      </c>
    </row>
    <row r="15" spans="1:12">
      <c r="A15" s="14" t="s">
        <v>14</v>
      </c>
      <c r="B15" s="23">
        <v>1</v>
      </c>
      <c r="C15" s="4">
        <f t="shared" ref="C15:C16" si="19">E15</f>
        <v>80</v>
      </c>
      <c r="D15" s="4">
        <f t="shared" ref="D15:D16" si="20">E15</f>
        <v>80</v>
      </c>
      <c r="E15" s="4">
        <v>80</v>
      </c>
      <c r="F15" s="4">
        <f t="shared" ref="F15:F16" si="21">E15</f>
        <v>80</v>
      </c>
      <c r="G15" s="4">
        <f>F15</f>
        <v>80</v>
      </c>
      <c r="H15" s="4">
        <f t="shared" ref="H15:H16" si="22">G15</f>
        <v>80</v>
      </c>
      <c r="I15" s="4">
        <f t="shared" ref="I15:I16" si="23">H15</f>
        <v>80</v>
      </c>
      <c r="J15" s="4">
        <f t="shared" ref="J15:J16" si="24">I15</f>
        <v>80</v>
      </c>
      <c r="K15" s="8">
        <f t="shared" ref="K15:K16" si="25">J15</f>
        <v>80</v>
      </c>
      <c r="L15" s="8">
        <f t="shared" ref="L15:L16" si="26">K15</f>
        <v>80</v>
      </c>
    </row>
    <row r="16" spans="1:12">
      <c r="A16" s="14" t="s">
        <v>15</v>
      </c>
      <c r="B16" s="23">
        <v>1</v>
      </c>
      <c r="C16" s="4">
        <f t="shared" si="19"/>
        <v>88</v>
      </c>
      <c r="D16" s="4">
        <f t="shared" si="20"/>
        <v>88</v>
      </c>
      <c r="E16" s="4">
        <v>88</v>
      </c>
      <c r="F16" s="4">
        <f t="shared" si="21"/>
        <v>88</v>
      </c>
      <c r="G16" s="4">
        <f>F16</f>
        <v>88</v>
      </c>
      <c r="H16" s="4">
        <f t="shared" si="22"/>
        <v>88</v>
      </c>
      <c r="I16" s="4">
        <f t="shared" si="23"/>
        <v>88</v>
      </c>
      <c r="J16" s="4">
        <f t="shared" si="24"/>
        <v>88</v>
      </c>
      <c r="K16" s="8">
        <f t="shared" si="25"/>
        <v>88</v>
      </c>
      <c r="L16" s="8">
        <f t="shared" si="26"/>
        <v>88</v>
      </c>
    </row>
    <row r="17" spans="1:12">
      <c r="A17" s="15" t="s">
        <v>16</v>
      </c>
      <c r="B17" s="23">
        <v>0.5</v>
      </c>
      <c r="C17" s="4">
        <f>E17</f>
        <v>4</v>
      </c>
      <c r="D17" s="4">
        <f>E17</f>
        <v>4</v>
      </c>
      <c r="E17" s="4">
        <v>4</v>
      </c>
      <c r="F17" s="4">
        <f>E17</f>
        <v>4</v>
      </c>
      <c r="G17" s="4">
        <f>E17</f>
        <v>4</v>
      </c>
      <c r="H17" s="4">
        <f>E17</f>
        <v>4</v>
      </c>
      <c r="I17" s="4">
        <f>E17</f>
        <v>4</v>
      </c>
      <c r="J17" s="4">
        <f>E17</f>
        <v>4</v>
      </c>
      <c r="K17" s="8">
        <f>E17</f>
        <v>4</v>
      </c>
      <c r="L17" s="8">
        <f>F17</f>
        <v>4</v>
      </c>
    </row>
    <row r="18" spans="1:12">
      <c r="A18" s="15" t="s">
        <v>17</v>
      </c>
      <c r="B18" s="23">
        <v>0.5</v>
      </c>
      <c r="C18" s="3">
        <f>D18-0.5</f>
        <v>17.5</v>
      </c>
      <c r="D18" s="3">
        <f>E18-0</f>
        <v>18</v>
      </c>
      <c r="E18" s="3">
        <v>18</v>
      </c>
      <c r="F18" s="3">
        <f>E18+0.5</f>
        <v>18.5</v>
      </c>
      <c r="G18" s="3">
        <f>F18+0</f>
        <v>18.5</v>
      </c>
      <c r="H18" s="3">
        <f>G18+0.5</f>
        <v>19</v>
      </c>
      <c r="I18" s="3">
        <f>H18+0</f>
        <v>19</v>
      </c>
      <c r="J18" s="3">
        <f>I18+1</f>
        <v>20</v>
      </c>
      <c r="K18" s="7">
        <f>J18+0</f>
        <v>20</v>
      </c>
      <c r="L18" s="7">
        <f>K18+0</f>
        <v>20</v>
      </c>
    </row>
    <row r="19" spans="1:12">
      <c r="A19" s="15" t="s">
        <v>18</v>
      </c>
      <c r="B19" s="23">
        <v>0.5</v>
      </c>
      <c r="C19" s="4">
        <f>E19</f>
        <v>4</v>
      </c>
      <c r="D19" s="4">
        <f>E19</f>
        <v>4</v>
      </c>
      <c r="E19" s="4">
        <v>4</v>
      </c>
      <c r="F19" s="4">
        <f>E19</f>
        <v>4</v>
      </c>
      <c r="G19" s="4">
        <f>E19</f>
        <v>4</v>
      </c>
      <c r="H19" s="4">
        <f>E19+0.5</f>
        <v>4.5</v>
      </c>
      <c r="I19" s="4">
        <f t="shared" ref="I19:J19" si="27">F19+0.5</f>
        <v>4.5</v>
      </c>
      <c r="J19" s="4">
        <f t="shared" si="27"/>
        <v>4.5</v>
      </c>
      <c r="K19" s="8">
        <f>H19</f>
        <v>4.5</v>
      </c>
      <c r="L19" s="8">
        <f>I19</f>
        <v>4.5</v>
      </c>
    </row>
    <row r="20" spans="1:12">
      <c r="A20" s="15" t="s">
        <v>19</v>
      </c>
      <c r="B20" s="23">
        <v>0.5</v>
      </c>
      <c r="C20" s="3">
        <f>D20-0.5</f>
        <v>16.5</v>
      </c>
      <c r="D20" s="3">
        <f>E20-0</f>
        <v>17</v>
      </c>
      <c r="E20" s="3">
        <v>17</v>
      </c>
      <c r="F20" s="3">
        <f>E20+0.5</f>
        <v>17.5</v>
      </c>
      <c r="G20" s="3">
        <f>F20+0</f>
        <v>17.5</v>
      </c>
      <c r="H20" s="3">
        <f>G20+0.5</f>
        <v>18</v>
      </c>
      <c r="I20" s="3">
        <f>H20+0</f>
        <v>18</v>
      </c>
      <c r="J20" s="3">
        <f>I20+1</f>
        <v>19</v>
      </c>
      <c r="K20" s="7">
        <f>J20+0</f>
        <v>19</v>
      </c>
      <c r="L20" s="7">
        <f>K20+0</f>
        <v>19</v>
      </c>
    </row>
    <row r="21" spans="1:12">
      <c r="A21" s="15" t="s">
        <v>20</v>
      </c>
      <c r="B21" s="23">
        <v>0</v>
      </c>
      <c r="C21" s="4">
        <f t="shared" ref="C21:C22" si="28">E21</f>
        <v>1.2</v>
      </c>
      <c r="D21" s="4">
        <f t="shared" ref="D21:D22" si="29">E21</f>
        <v>1.2</v>
      </c>
      <c r="E21" s="4">
        <v>1.2</v>
      </c>
      <c r="F21" s="4">
        <f t="shared" ref="F21:F22" si="30">E21</f>
        <v>1.2</v>
      </c>
      <c r="G21" s="4">
        <f t="shared" ref="G21:G22" si="31">E21</f>
        <v>1.2</v>
      </c>
      <c r="H21" s="4">
        <f t="shared" ref="H21:H22" si="32">E21</f>
        <v>1.2</v>
      </c>
      <c r="I21" s="4">
        <f t="shared" ref="I21:I22" si="33">E21</f>
        <v>1.2</v>
      </c>
      <c r="J21" s="4">
        <f t="shared" ref="J21:J22" si="34">E21</f>
        <v>1.2</v>
      </c>
      <c r="K21" s="8">
        <f t="shared" ref="K21:L22" si="35">E21</f>
        <v>1.2</v>
      </c>
      <c r="L21" s="8">
        <f t="shared" si="35"/>
        <v>1.2</v>
      </c>
    </row>
    <row r="22" spans="1:12">
      <c r="A22" s="15" t="s">
        <v>21</v>
      </c>
      <c r="B22" s="23">
        <v>0</v>
      </c>
      <c r="C22" s="4">
        <f t="shared" si="28"/>
        <v>6</v>
      </c>
      <c r="D22" s="4">
        <f t="shared" si="29"/>
        <v>6</v>
      </c>
      <c r="E22" s="4">
        <v>6</v>
      </c>
      <c r="F22" s="4">
        <f t="shared" si="30"/>
        <v>6</v>
      </c>
      <c r="G22" s="4">
        <f t="shared" si="31"/>
        <v>6</v>
      </c>
      <c r="H22" s="4">
        <f t="shared" si="32"/>
        <v>6</v>
      </c>
      <c r="I22" s="4">
        <f t="shared" si="33"/>
        <v>6</v>
      </c>
      <c r="J22" s="4">
        <f t="shared" si="34"/>
        <v>6</v>
      </c>
      <c r="K22" s="8">
        <f t="shared" si="35"/>
        <v>6</v>
      </c>
      <c r="L22" s="8">
        <f t="shared" si="35"/>
        <v>6</v>
      </c>
    </row>
    <row r="23" spans="1:12">
      <c r="A23" s="16" t="s">
        <v>22</v>
      </c>
      <c r="B23" s="23">
        <v>0.5</v>
      </c>
      <c r="C23" s="4">
        <f>D23-0.5</f>
        <v>3</v>
      </c>
      <c r="D23" s="4">
        <f>E23-0.5</f>
        <v>3.5</v>
      </c>
      <c r="E23" s="4">
        <v>4</v>
      </c>
      <c r="F23" s="4">
        <f>E23+0.5</f>
        <v>4.5</v>
      </c>
      <c r="G23" s="4">
        <f>F23+0</f>
        <v>4.5</v>
      </c>
      <c r="H23" s="4">
        <f>G23+0.5</f>
        <v>5</v>
      </c>
      <c r="I23" s="4">
        <f t="shared" ref="I23:L24" si="36">H23+0.5</f>
        <v>5.5</v>
      </c>
      <c r="J23" s="4">
        <f t="shared" si="36"/>
        <v>6</v>
      </c>
      <c r="K23" s="8">
        <f t="shared" si="36"/>
        <v>6.5</v>
      </c>
      <c r="L23" s="8">
        <f t="shared" si="36"/>
        <v>7</v>
      </c>
    </row>
    <row r="24" spans="1:12">
      <c r="A24" s="17" t="s">
        <v>23</v>
      </c>
      <c r="B24" s="24">
        <v>0.5</v>
      </c>
      <c r="C24" s="9">
        <f>D24-0.5</f>
        <v>15</v>
      </c>
      <c r="D24" s="9">
        <f>E24-0.5</f>
        <v>15.5</v>
      </c>
      <c r="E24" s="9">
        <v>16</v>
      </c>
      <c r="F24" s="9">
        <f>E24+0.5</f>
        <v>16.5</v>
      </c>
      <c r="G24" s="9">
        <f>F24+0.5</f>
        <v>17</v>
      </c>
      <c r="H24" s="9">
        <f>G24+0.5</f>
        <v>17.5</v>
      </c>
      <c r="I24" s="9">
        <f t="shared" si="36"/>
        <v>18</v>
      </c>
      <c r="J24" s="9">
        <f t="shared" si="36"/>
        <v>18.5</v>
      </c>
      <c r="K24" s="10">
        <f t="shared" si="36"/>
        <v>19</v>
      </c>
      <c r="L24" s="10">
        <f t="shared" si="36"/>
        <v>19.5</v>
      </c>
    </row>
    <row r="25" spans="1:12"/>
  </sheetData>
  <mergeCells count="3">
    <mergeCell ref="A1:A2"/>
    <mergeCell ref="B1:B2"/>
    <mergeCell ref="C1:K1"/>
  </mergeCells>
  <pageMargins left="0.7" right="0.7" top="0.75" bottom="0.75" header="0.3" footer="0.3"/>
  <pageSetup paperSize="9" scale="9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58F27-6147-4DCC-908E-F14C32094E3A}">
  <sheetPr>
    <tabColor rgb="FF00B0F0"/>
    <pageSetUpPr fitToPage="1"/>
  </sheetPr>
  <dimension ref="A1:L22"/>
  <sheetViews>
    <sheetView zoomScale="96" zoomScaleNormal="96" workbookViewId="0"/>
  </sheetViews>
  <sheetFormatPr defaultRowHeight="14.45"/>
  <cols>
    <col min="1" max="1" width="49.7109375" customWidth="1"/>
    <col min="2" max="2" width="10.42578125" customWidth="1"/>
    <col min="6" max="6" width="8.42578125" customWidth="1"/>
  </cols>
  <sheetData>
    <row r="1" spans="1:12">
      <c r="A1" s="29" t="s">
        <v>0</v>
      </c>
      <c r="B1" s="31" t="s">
        <v>1</v>
      </c>
      <c r="C1" s="35" t="s">
        <v>24</v>
      </c>
      <c r="D1" s="33"/>
      <c r="E1" s="33"/>
      <c r="F1" s="33"/>
      <c r="G1" s="33"/>
      <c r="H1" s="33"/>
      <c r="I1" s="33"/>
      <c r="J1" s="33"/>
      <c r="K1" s="33"/>
      <c r="L1" s="34"/>
    </row>
    <row r="2" spans="1:12">
      <c r="A2" s="30"/>
      <c r="B2" s="32"/>
      <c r="C2" s="1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</row>
    <row r="3" spans="1:12">
      <c r="A3" s="11" t="s">
        <v>2</v>
      </c>
      <c r="B3" s="22">
        <v>1</v>
      </c>
      <c r="C3" s="18">
        <f t="shared" ref="C3:E5" si="0">D3-2.5</f>
        <v>35</v>
      </c>
      <c r="D3" s="5">
        <f t="shared" si="0"/>
        <v>37.5</v>
      </c>
      <c r="E3" s="5">
        <f t="shared" si="0"/>
        <v>40</v>
      </c>
      <c r="F3" s="5">
        <v>42.5</v>
      </c>
      <c r="G3" s="5">
        <f>F3+2.5</f>
        <v>45</v>
      </c>
      <c r="H3" s="5">
        <f t="shared" ref="H3:L5" si="1">G3+2.5</f>
        <v>47.5</v>
      </c>
      <c r="I3" s="5">
        <f t="shared" si="1"/>
        <v>50</v>
      </c>
      <c r="J3" s="5">
        <f t="shared" si="1"/>
        <v>52.5</v>
      </c>
      <c r="K3" s="5">
        <f t="shared" si="1"/>
        <v>55</v>
      </c>
      <c r="L3" s="6">
        <f t="shared" si="1"/>
        <v>57.5</v>
      </c>
    </row>
    <row r="4" spans="1:12">
      <c r="A4" s="13" t="s">
        <v>3</v>
      </c>
      <c r="B4" s="23">
        <v>1</v>
      </c>
      <c r="C4" s="19">
        <f t="shared" si="0"/>
        <v>43.5</v>
      </c>
      <c r="D4" s="3">
        <f t="shared" si="0"/>
        <v>46</v>
      </c>
      <c r="E4" s="3">
        <f t="shared" si="0"/>
        <v>48.5</v>
      </c>
      <c r="F4" s="3">
        <v>51</v>
      </c>
      <c r="G4" s="3">
        <f>F4+2.5</f>
        <v>53.5</v>
      </c>
      <c r="H4" s="3">
        <f t="shared" si="1"/>
        <v>56</v>
      </c>
      <c r="I4" s="3">
        <f t="shared" si="1"/>
        <v>58.5</v>
      </c>
      <c r="J4" s="3">
        <f t="shared" si="1"/>
        <v>61</v>
      </c>
      <c r="K4" s="3">
        <f t="shared" si="1"/>
        <v>63.5</v>
      </c>
      <c r="L4" s="7">
        <f t="shared" si="1"/>
        <v>66</v>
      </c>
    </row>
    <row r="5" spans="1:12">
      <c r="A5" s="13" t="s">
        <v>4</v>
      </c>
      <c r="B5" s="23">
        <v>1</v>
      </c>
      <c r="C5" s="19">
        <f t="shared" si="0"/>
        <v>48.5</v>
      </c>
      <c r="D5" s="3">
        <f t="shared" si="0"/>
        <v>51</v>
      </c>
      <c r="E5" s="3">
        <f t="shared" si="0"/>
        <v>53.5</v>
      </c>
      <c r="F5" s="3">
        <v>56</v>
      </c>
      <c r="G5" s="3">
        <f>F5+2.5</f>
        <v>58.5</v>
      </c>
      <c r="H5" s="3">
        <f t="shared" si="1"/>
        <v>61</v>
      </c>
      <c r="I5" s="3">
        <f t="shared" si="1"/>
        <v>63.5</v>
      </c>
      <c r="J5" s="3">
        <f t="shared" si="1"/>
        <v>66</v>
      </c>
      <c r="K5" s="3">
        <f t="shared" si="1"/>
        <v>68.5</v>
      </c>
      <c r="L5" s="7">
        <f t="shared" si="1"/>
        <v>71</v>
      </c>
    </row>
    <row r="6" spans="1:12">
      <c r="A6" s="13" t="s">
        <v>5</v>
      </c>
      <c r="B6" s="23">
        <v>1</v>
      </c>
      <c r="C6" s="19">
        <f t="shared" ref="C6:E7" si="2">D6-1</f>
        <v>26</v>
      </c>
      <c r="D6" s="3">
        <f t="shared" si="2"/>
        <v>27</v>
      </c>
      <c r="E6" s="3">
        <f t="shared" si="2"/>
        <v>28</v>
      </c>
      <c r="F6" s="3">
        <v>29</v>
      </c>
      <c r="G6" s="3">
        <f t="shared" ref="G6:H6" si="3">F6+1</f>
        <v>30</v>
      </c>
      <c r="H6" s="3">
        <f t="shared" si="3"/>
        <v>31</v>
      </c>
      <c r="I6" s="3">
        <f>H6+1.5</f>
        <v>32.5</v>
      </c>
      <c r="J6" s="3">
        <f>I6+1.5</f>
        <v>34</v>
      </c>
      <c r="K6" s="3">
        <f>J6+1.5</f>
        <v>35.5</v>
      </c>
      <c r="L6" s="7">
        <f>K6+1.5</f>
        <v>37</v>
      </c>
    </row>
    <row r="7" spans="1:12">
      <c r="A7" s="13" t="s">
        <v>6</v>
      </c>
      <c r="B7" s="23">
        <v>1</v>
      </c>
      <c r="C7" s="19">
        <f t="shared" si="2"/>
        <v>36</v>
      </c>
      <c r="D7" s="3">
        <f t="shared" si="2"/>
        <v>37</v>
      </c>
      <c r="E7" s="3">
        <f t="shared" si="2"/>
        <v>38</v>
      </c>
      <c r="F7" s="3">
        <v>39</v>
      </c>
      <c r="G7" s="3">
        <f>F7+1.2</f>
        <v>40.200000000000003</v>
      </c>
      <c r="H7" s="3">
        <f t="shared" ref="H7" si="4">G7+1.2</f>
        <v>41.400000000000006</v>
      </c>
      <c r="I7" s="3">
        <f>H7+1.8</f>
        <v>43.2</v>
      </c>
      <c r="J7" s="3">
        <f>I7+1.8</f>
        <v>45</v>
      </c>
      <c r="K7" s="3">
        <f>J7+1.8</f>
        <v>46.8</v>
      </c>
      <c r="L7" s="7">
        <f>K7+1.8</f>
        <v>48.599999999999994</v>
      </c>
    </row>
    <row r="8" spans="1:12">
      <c r="A8" s="13" t="s">
        <v>7</v>
      </c>
      <c r="B8" s="23">
        <v>1</v>
      </c>
      <c r="C8" s="19">
        <f t="shared" ref="C8:D11" si="5">D8-1.2</f>
        <v>31.899999999999995</v>
      </c>
      <c r="D8" s="3">
        <f t="shared" si="5"/>
        <v>33.099999999999994</v>
      </c>
      <c r="E8" s="3">
        <f>F8-1.2</f>
        <v>34.299999999999997</v>
      </c>
      <c r="F8" s="3">
        <v>35.5</v>
      </c>
      <c r="G8" s="3">
        <f>F8+1.5</f>
        <v>37</v>
      </c>
      <c r="H8" s="3">
        <f t="shared" ref="H8:L10" si="6">G8+1.5</f>
        <v>38.5</v>
      </c>
      <c r="I8" s="3">
        <f t="shared" si="6"/>
        <v>40</v>
      </c>
      <c r="J8" s="3">
        <f t="shared" si="6"/>
        <v>41.5</v>
      </c>
      <c r="K8" s="3">
        <f t="shared" si="6"/>
        <v>43</v>
      </c>
      <c r="L8" s="7">
        <f t="shared" si="6"/>
        <v>44.5</v>
      </c>
    </row>
    <row r="9" spans="1:12">
      <c r="A9" s="13" t="s">
        <v>35</v>
      </c>
      <c r="B9" s="23">
        <v>1</v>
      </c>
      <c r="C9" s="19">
        <f t="shared" si="5"/>
        <v>29.400000000000002</v>
      </c>
      <c r="D9" s="3">
        <f t="shared" si="5"/>
        <v>30.6</v>
      </c>
      <c r="E9" s="3">
        <f>F9-1.2</f>
        <v>31.8</v>
      </c>
      <c r="F9" s="3">
        <v>33</v>
      </c>
      <c r="G9" s="3">
        <f>F9+1.5</f>
        <v>34.5</v>
      </c>
      <c r="H9" s="3">
        <f t="shared" si="6"/>
        <v>36</v>
      </c>
      <c r="I9" s="3">
        <f t="shared" si="6"/>
        <v>37.5</v>
      </c>
      <c r="J9" s="3">
        <f t="shared" si="6"/>
        <v>39</v>
      </c>
      <c r="K9" s="3">
        <f t="shared" si="6"/>
        <v>40.5</v>
      </c>
      <c r="L9" s="7">
        <f t="shared" si="6"/>
        <v>42</v>
      </c>
    </row>
    <row r="10" spans="1:12">
      <c r="A10" s="13" t="s">
        <v>36</v>
      </c>
      <c r="B10" s="23">
        <v>1</v>
      </c>
      <c r="C10" s="19">
        <f t="shared" si="5"/>
        <v>28.400000000000002</v>
      </c>
      <c r="D10" s="3">
        <f t="shared" si="5"/>
        <v>29.6</v>
      </c>
      <c r="E10" s="3">
        <f>F10-1.2</f>
        <v>30.8</v>
      </c>
      <c r="F10" s="3">
        <v>32</v>
      </c>
      <c r="G10" s="3">
        <f>F10+1.5</f>
        <v>33.5</v>
      </c>
      <c r="H10" s="3">
        <f t="shared" si="6"/>
        <v>35</v>
      </c>
      <c r="I10" s="3">
        <f t="shared" si="6"/>
        <v>36.5</v>
      </c>
      <c r="J10" s="3">
        <f t="shared" si="6"/>
        <v>38</v>
      </c>
      <c r="K10" s="3">
        <f t="shared" si="6"/>
        <v>39.5</v>
      </c>
      <c r="L10" s="7">
        <f t="shared" si="6"/>
        <v>41</v>
      </c>
    </row>
    <row r="11" spans="1:12">
      <c r="A11" s="13" t="s">
        <v>37</v>
      </c>
      <c r="B11" s="23">
        <v>1</v>
      </c>
      <c r="C11" s="19">
        <f t="shared" si="5"/>
        <v>25.400000000000002</v>
      </c>
      <c r="D11" s="3">
        <f t="shared" si="5"/>
        <v>26.6</v>
      </c>
      <c r="E11" s="3">
        <f>F11-1.2</f>
        <v>27.8</v>
      </c>
      <c r="F11" s="3">
        <v>29</v>
      </c>
      <c r="G11" s="3">
        <f>F11+1.2</f>
        <v>30.2</v>
      </c>
      <c r="H11" s="3">
        <f t="shared" ref="H11:L11" si="7">G11+1.2</f>
        <v>31.4</v>
      </c>
      <c r="I11" s="3">
        <f t="shared" si="7"/>
        <v>32.6</v>
      </c>
      <c r="J11" s="3">
        <f t="shared" si="7"/>
        <v>33.800000000000004</v>
      </c>
      <c r="K11" s="3">
        <f t="shared" si="7"/>
        <v>35.000000000000007</v>
      </c>
      <c r="L11" s="7">
        <f t="shared" si="7"/>
        <v>36.20000000000001</v>
      </c>
    </row>
    <row r="12" spans="1:12">
      <c r="A12" s="13" t="s">
        <v>11</v>
      </c>
      <c r="B12" s="23">
        <v>0.5</v>
      </c>
      <c r="C12" s="20">
        <f>F12</f>
        <v>2.5</v>
      </c>
      <c r="D12" s="4">
        <f>F12</f>
        <v>2.5</v>
      </c>
      <c r="E12" s="4">
        <f>F12</f>
        <v>2.5</v>
      </c>
      <c r="F12" s="4">
        <v>2.5</v>
      </c>
      <c r="G12" s="4">
        <f>F12</f>
        <v>2.5</v>
      </c>
      <c r="H12" s="4">
        <f>F12</f>
        <v>2.5</v>
      </c>
      <c r="I12" s="4">
        <f>F12</f>
        <v>2.5</v>
      </c>
      <c r="J12" s="4">
        <f>F12</f>
        <v>2.5</v>
      </c>
      <c r="K12" s="4">
        <f>F12</f>
        <v>2.5</v>
      </c>
      <c r="L12" s="8">
        <f>F12</f>
        <v>2.5</v>
      </c>
    </row>
    <row r="13" spans="1:12">
      <c r="A13" s="13" t="s">
        <v>12</v>
      </c>
      <c r="B13" s="23">
        <v>0.5</v>
      </c>
      <c r="C13" s="20">
        <f t="shared" ref="C13:C14" si="8">F13</f>
        <v>0</v>
      </c>
      <c r="D13" s="4">
        <f t="shared" ref="D13:D14" si="9">F13</f>
        <v>0</v>
      </c>
      <c r="E13" s="4">
        <f t="shared" ref="E13:E14" si="10">F13</f>
        <v>0</v>
      </c>
      <c r="F13" s="4"/>
      <c r="G13" s="4">
        <f t="shared" ref="G13:G14" si="11">F13</f>
        <v>0</v>
      </c>
      <c r="H13" s="4">
        <f t="shared" ref="H13" si="12">F13</f>
        <v>0</v>
      </c>
      <c r="I13" s="4">
        <f t="shared" ref="I13" si="13">F13</f>
        <v>0</v>
      </c>
      <c r="J13" s="4">
        <f t="shared" ref="J13" si="14">F13</f>
        <v>0</v>
      </c>
      <c r="K13" s="4">
        <f t="shared" ref="K13" si="15">F13</f>
        <v>0</v>
      </c>
      <c r="L13" s="8">
        <f t="shared" ref="L13" si="16">F13</f>
        <v>0</v>
      </c>
    </row>
    <row r="14" spans="1:12">
      <c r="A14" s="14" t="s">
        <v>38</v>
      </c>
      <c r="B14" s="23">
        <v>1</v>
      </c>
      <c r="C14" s="20">
        <f t="shared" si="8"/>
        <v>80</v>
      </c>
      <c r="D14" s="4">
        <f t="shared" si="9"/>
        <v>80</v>
      </c>
      <c r="E14" s="4">
        <f t="shared" si="10"/>
        <v>80</v>
      </c>
      <c r="F14" s="4">
        <v>80</v>
      </c>
      <c r="G14" s="4">
        <f t="shared" si="11"/>
        <v>80</v>
      </c>
      <c r="H14" s="4">
        <f>G14</f>
        <v>80</v>
      </c>
      <c r="I14" s="4">
        <f t="shared" ref="I14:L14" si="17">H14</f>
        <v>80</v>
      </c>
      <c r="J14" s="4">
        <f t="shared" si="17"/>
        <v>80</v>
      </c>
      <c r="K14" s="4">
        <f t="shared" si="17"/>
        <v>80</v>
      </c>
      <c r="L14" s="8">
        <f t="shared" si="17"/>
        <v>80</v>
      </c>
    </row>
    <row r="15" spans="1:12">
      <c r="A15" s="15" t="s">
        <v>16</v>
      </c>
      <c r="B15" s="23">
        <v>0.5</v>
      </c>
      <c r="C15" s="20">
        <f>F15</f>
        <v>4</v>
      </c>
      <c r="D15" s="4">
        <f>F15</f>
        <v>4</v>
      </c>
      <c r="E15" s="4">
        <f>F15</f>
        <v>4</v>
      </c>
      <c r="F15" s="4">
        <v>4</v>
      </c>
      <c r="G15" s="4">
        <f>F15</f>
        <v>4</v>
      </c>
      <c r="H15" s="4">
        <f>F15</f>
        <v>4</v>
      </c>
      <c r="I15" s="4">
        <f>F15</f>
        <v>4</v>
      </c>
      <c r="J15" s="4">
        <f>F15</f>
        <v>4</v>
      </c>
      <c r="K15" s="4">
        <f>F15</f>
        <v>4</v>
      </c>
      <c r="L15" s="8">
        <f>F15</f>
        <v>4</v>
      </c>
    </row>
    <row r="16" spans="1:12">
      <c r="A16" s="15" t="s">
        <v>17</v>
      </c>
      <c r="B16" s="23">
        <v>0.5</v>
      </c>
      <c r="C16" s="19">
        <f>D16-0</f>
        <v>17.5</v>
      </c>
      <c r="D16" s="3">
        <f>E16-0.5</f>
        <v>17.5</v>
      </c>
      <c r="E16" s="3">
        <f>F16-0</f>
        <v>18</v>
      </c>
      <c r="F16" s="3">
        <v>18</v>
      </c>
      <c r="G16" s="3">
        <f>F16+0.5</f>
        <v>18.5</v>
      </c>
      <c r="H16" s="3">
        <f>G16+0</f>
        <v>18.5</v>
      </c>
      <c r="I16" s="3">
        <f>H16+0.5</f>
        <v>19</v>
      </c>
      <c r="J16" s="3">
        <f>I16+0</f>
        <v>19</v>
      </c>
      <c r="K16" s="3">
        <f>J16+1</f>
        <v>20</v>
      </c>
      <c r="L16" s="7">
        <f>K16+0</f>
        <v>20</v>
      </c>
    </row>
    <row r="17" spans="1:12">
      <c r="A17" s="15" t="s">
        <v>18</v>
      </c>
      <c r="B17" s="23">
        <v>0.5</v>
      </c>
      <c r="C17" s="20">
        <f>F17</f>
        <v>4</v>
      </c>
      <c r="D17" s="4">
        <f>F17</f>
        <v>4</v>
      </c>
      <c r="E17" s="4">
        <f>F17</f>
        <v>4</v>
      </c>
      <c r="F17" s="4">
        <v>4</v>
      </c>
      <c r="G17" s="4">
        <f>F17</f>
        <v>4</v>
      </c>
      <c r="H17" s="4">
        <f>F17</f>
        <v>4</v>
      </c>
      <c r="I17" s="4">
        <f>F17+0.5</f>
        <v>4.5</v>
      </c>
      <c r="J17" s="4">
        <f t="shared" ref="J17:K17" si="18">G17+0.5</f>
        <v>4.5</v>
      </c>
      <c r="K17" s="4">
        <f t="shared" si="18"/>
        <v>4.5</v>
      </c>
      <c r="L17" s="8">
        <f>I17</f>
        <v>4.5</v>
      </c>
    </row>
    <row r="18" spans="1:12">
      <c r="A18" s="15" t="s">
        <v>19</v>
      </c>
      <c r="B18" s="23">
        <v>0.5</v>
      </c>
      <c r="C18" s="19">
        <f>D18-0</f>
        <v>16.5</v>
      </c>
      <c r="D18" s="3">
        <f>E18-0.5</f>
        <v>16.5</v>
      </c>
      <c r="E18" s="3">
        <f>F18-0</f>
        <v>17</v>
      </c>
      <c r="F18" s="3">
        <v>17</v>
      </c>
      <c r="G18" s="3">
        <f>F18+0.5</f>
        <v>17.5</v>
      </c>
      <c r="H18" s="3">
        <f>G18+0</f>
        <v>17.5</v>
      </c>
      <c r="I18" s="3">
        <f>H18+0.5</f>
        <v>18</v>
      </c>
      <c r="J18" s="3">
        <f>I18+0</f>
        <v>18</v>
      </c>
      <c r="K18" s="3">
        <f>J18+1</f>
        <v>19</v>
      </c>
      <c r="L18" s="7">
        <f>K18+0</f>
        <v>19</v>
      </c>
    </row>
    <row r="19" spans="1:12">
      <c r="A19" s="15" t="s">
        <v>20</v>
      </c>
      <c r="B19" s="23">
        <v>0</v>
      </c>
      <c r="C19" s="20">
        <f t="shared" ref="C19:C20" si="19">F19</f>
        <v>1.2</v>
      </c>
      <c r="D19" s="4">
        <f t="shared" ref="D19:D20" si="20">F19</f>
        <v>1.2</v>
      </c>
      <c r="E19" s="4">
        <f t="shared" ref="E19:E20" si="21">F19</f>
        <v>1.2</v>
      </c>
      <c r="F19" s="4">
        <v>1.2</v>
      </c>
      <c r="G19" s="4">
        <f t="shared" ref="G19:G20" si="22">F19</f>
        <v>1.2</v>
      </c>
      <c r="H19" s="4">
        <f t="shared" ref="H19:H20" si="23">F19</f>
        <v>1.2</v>
      </c>
      <c r="I19" s="4">
        <f t="shared" ref="I19:I20" si="24">F19</f>
        <v>1.2</v>
      </c>
      <c r="J19" s="4">
        <f t="shared" ref="J19:J20" si="25">F19</f>
        <v>1.2</v>
      </c>
      <c r="K19" s="4">
        <f t="shared" ref="K19:K20" si="26">F19</f>
        <v>1.2</v>
      </c>
      <c r="L19" s="8">
        <f t="shared" ref="L19:L20" si="27">F19</f>
        <v>1.2</v>
      </c>
    </row>
    <row r="20" spans="1:12">
      <c r="A20" s="15" t="s">
        <v>21</v>
      </c>
      <c r="B20" s="23">
        <v>0</v>
      </c>
      <c r="C20" s="20">
        <f t="shared" si="19"/>
        <v>6</v>
      </c>
      <c r="D20" s="4">
        <f t="shared" si="20"/>
        <v>6</v>
      </c>
      <c r="E20" s="4">
        <f t="shared" si="21"/>
        <v>6</v>
      </c>
      <c r="F20" s="4">
        <v>6</v>
      </c>
      <c r="G20" s="4">
        <f t="shared" si="22"/>
        <v>6</v>
      </c>
      <c r="H20" s="4">
        <f t="shared" si="23"/>
        <v>6</v>
      </c>
      <c r="I20" s="4">
        <f t="shared" si="24"/>
        <v>6</v>
      </c>
      <c r="J20" s="4">
        <f t="shared" si="25"/>
        <v>6</v>
      </c>
      <c r="K20" s="4">
        <f t="shared" si="26"/>
        <v>6</v>
      </c>
      <c r="L20" s="8">
        <f t="shared" si="27"/>
        <v>6</v>
      </c>
    </row>
    <row r="21" spans="1:12">
      <c r="A21" s="16" t="s">
        <v>22</v>
      </c>
      <c r="B21" s="23">
        <v>0.5</v>
      </c>
      <c r="C21" s="20">
        <f t="shared" ref="C21:E22" si="28">D21-0.5</f>
        <v>2.5</v>
      </c>
      <c r="D21" s="4">
        <f t="shared" si="28"/>
        <v>3</v>
      </c>
      <c r="E21" s="4">
        <f t="shared" si="28"/>
        <v>3.5</v>
      </c>
      <c r="F21" s="4">
        <v>4</v>
      </c>
      <c r="G21" s="4">
        <f>F21+0.5</f>
        <v>4.5</v>
      </c>
      <c r="H21" s="4">
        <f>G21+0</f>
        <v>4.5</v>
      </c>
      <c r="I21" s="4">
        <f>H21+0.5</f>
        <v>5</v>
      </c>
      <c r="J21" s="4">
        <f t="shared" ref="J21:L22" si="29">I21+0.5</f>
        <v>5.5</v>
      </c>
      <c r="K21" s="4">
        <f t="shared" si="29"/>
        <v>6</v>
      </c>
      <c r="L21" s="8">
        <f t="shared" si="29"/>
        <v>6.5</v>
      </c>
    </row>
    <row r="22" spans="1:12">
      <c r="A22" s="17" t="s">
        <v>23</v>
      </c>
      <c r="B22" s="24">
        <v>0.5</v>
      </c>
      <c r="C22" s="21">
        <f t="shared" si="28"/>
        <v>14.5</v>
      </c>
      <c r="D22" s="9">
        <f t="shared" si="28"/>
        <v>15</v>
      </c>
      <c r="E22" s="9">
        <f t="shared" si="28"/>
        <v>15.5</v>
      </c>
      <c r="F22" s="9">
        <v>16</v>
      </c>
      <c r="G22" s="9">
        <f>F22+0.5</f>
        <v>16.5</v>
      </c>
      <c r="H22" s="9">
        <f>G22+0.5</f>
        <v>17</v>
      </c>
      <c r="I22" s="9">
        <f>H22+0.5</f>
        <v>17.5</v>
      </c>
      <c r="J22" s="9">
        <f t="shared" si="29"/>
        <v>18</v>
      </c>
      <c r="K22" s="9">
        <f t="shared" si="29"/>
        <v>18.5</v>
      </c>
      <c r="L22" s="10">
        <f t="shared" si="29"/>
        <v>19</v>
      </c>
    </row>
  </sheetData>
  <mergeCells count="3">
    <mergeCell ref="A1:A2"/>
    <mergeCell ref="B1:B2"/>
    <mergeCell ref="C1:L1"/>
  </mergeCells>
  <pageMargins left="0.7" right="0.7" top="0.75" bottom="0.75" header="0.3" footer="0.3"/>
  <pageSetup paperSize="9" scale="97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7CCD-D240-4D2E-AD7C-681088CD20D7}">
  <sheetPr codeName="Sheet43">
    <tabColor rgb="FFFFC000"/>
    <pageSetUpPr fitToPage="1"/>
  </sheetPr>
  <dimension ref="A1:L26"/>
  <sheetViews>
    <sheetView zoomScale="96" zoomScaleNormal="96" workbookViewId="0">
      <selection activeCell="F7" sqref="F7:F8"/>
    </sheetView>
  </sheetViews>
  <sheetFormatPr defaultRowHeight="14.45"/>
  <cols>
    <col min="1" max="1" width="49.7109375" customWidth="1"/>
    <col min="2" max="2" width="10.42578125" customWidth="1"/>
    <col min="6" max="6" width="8.42578125" customWidth="1"/>
  </cols>
  <sheetData>
    <row r="1" spans="1:12" ht="15" thickBot="1">
      <c r="A1" s="29" t="s">
        <v>0</v>
      </c>
      <c r="B1" s="31" t="s">
        <v>1</v>
      </c>
      <c r="C1" s="35" t="s">
        <v>24</v>
      </c>
      <c r="D1" s="33"/>
      <c r="E1" s="33"/>
      <c r="F1" s="33"/>
      <c r="G1" s="33"/>
      <c r="H1" s="33"/>
      <c r="I1" s="33"/>
      <c r="J1" s="33"/>
      <c r="K1" s="33"/>
      <c r="L1" s="34"/>
    </row>
    <row r="2" spans="1:12" ht="15" thickBot="1">
      <c r="A2" s="30"/>
      <c r="B2" s="32"/>
      <c r="C2" s="1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</row>
    <row r="3" spans="1:12">
      <c r="A3" s="11" t="s">
        <v>2</v>
      </c>
      <c r="B3" s="22">
        <v>1</v>
      </c>
      <c r="C3" s="18">
        <f t="shared" ref="C3:E6" si="0">D3-2.5</f>
        <v>30.5</v>
      </c>
      <c r="D3" s="5">
        <f t="shared" si="0"/>
        <v>33</v>
      </c>
      <c r="E3" s="5">
        <f t="shared" si="0"/>
        <v>35.5</v>
      </c>
      <c r="F3" s="5">
        <v>38</v>
      </c>
      <c r="G3" s="5">
        <f>F3+2.5</f>
        <v>40.5</v>
      </c>
      <c r="H3" s="5">
        <f t="shared" ref="H3:L6" si="1">G3+2.5</f>
        <v>43</v>
      </c>
      <c r="I3" s="5">
        <f t="shared" si="1"/>
        <v>45.5</v>
      </c>
      <c r="J3" s="5">
        <f t="shared" si="1"/>
        <v>48</v>
      </c>
      <c r="K3" s="5">
        <f t="shared" si="1"/>
        <v>50.5</v>
      </c>
      <c r="L3" s="6">
        <f t="shared" si="1"/>
        <v>53</v>
      </c>
    </row>
    <row r="4" spans="1:12">
      <c r="A4" s="12" t="s">
        <v>39</v>
      </c>
      <c r="B4" s="23">
        <v>1</v>
      </c>
      <c r="C4" s="19">
        <f t="shared" si="0"/>
        <v>48.5</v>
      </c>
      <c r="D4" s="3">
        <f t="shared" si="0"/>
        <v>51</v>
      </c>
      <c r="E4" s="3">
        <f t="shared" si="0"/>
        <v>53.5</v>
      </c>
      <c r="F4" s="3">
        <v>56</v>
      </c>
      <c r="G4" s="3">
        <f>F4+2.5</f>
        <v>58.5</v>
      </c>
      <c r="H4" s="3">
        <f t="shared" si="1"/>
        <v>61</v>
      </c>
      <c r="I4" s="3">
        <f t="shared" si="1"/>
        <v>63.5</v>
      </c>
      <c r="J4" s="3">
        <f t="shared" si="1"/>
        <v>66</v>
      </c>
      <c r="K4" s="3">
        <f t="shared" si="1"/>
        <v>68.5</v>
      </c>
      <c r="L4" s="7">
        <f t="shared" si="1"/>
        <v>71</v>
      </c>
    </row>
    <row r="5" spans="1:12">
      <c r="A5" s="13" t="s">
        <v>3</v>
      </c>
      <c r="B5" s="23">
        <v>1</v>
      </c>
      <c r="C5" s="19">
        <f t="shared" si="0"/>
        <v>41.5</v>
      </c>
      <c r="D5" s="3">
        <f t="shared" si="0"/>
        <v>44</v>
      </c>
      <c r="E5" s="3">
        <f t="shared" si="0"/>
        <v>46.5</v>
      </c>
      <c r="F5" s="3">
        <v>49</v>
      </c>
      <c r="G5" s="3">
        <f>F5+2.5</f>
        <v>51.5</v>
      </c>
      <c r="H5" s="3">
        <f t="shared" si="1"/>
        <v>54</v>
      </c>
      <c r="I5" s="3">
        <f t="shared" si="1"/>
        <v>56.5</v>
      </c>
      <c r="J5" s="3">
        <f t="shared" si="1"/>
        <v>59</v>
      </c>
      <c r="K5" s="3">
        <f t="shared" si="1"/>
        <v>61.5</v>
      </c>
      <c r="L5" s="7">
        <f t="shared" si="1"/>
        <v>64</v>
      </c>
    </row>
    <row r="6" spans="1:12">
      <c r="A6" s="13" t="s">
        <v>4</v>
      </c>
      <c r="B6" s="23">
        <v>1</v>
      </c>
      <c r="C6" s="19">
        <f t="shared" si="0"/>
        <v>48</v>
      </c>
      <c r="D6" s="3">
        <f t="shared" si="0"/>
        <v>50.5</v>
      </c>
      <c r="E6" s="3">
        <f t="shared" si="0"/>
        <v>53</v>
      </c>
      <c r="F6" s="3">
        <v>55.5</v>
      </c>
      <c r="G6" s="3">
        <f>F6+2.5</f>
        <v>58</v>
      </c>
      <c r="H6" s="3">
        <f t="shared" si="1"/>
        <v>60.5</v>
      </c>
      <c r="I6" s="3">
        <f t="shared" si="1"/>
        <v>63</v>
      </c>
      <c r="J6" s="3">
        <f t="shared" si="1"/>
        <v>65.5</v>
      </c>
      <c r="K6" s="3">
        <f t="shared" si="1"/>
        <v>68</v>
      </c>
      <c r="L6" s="7">
        <f t="shared" si="1"/>
        <v>70.5</v>
      </c>
    </row>
    <row r="7" spans="1:12">
      <c r="A7" s="13" t="s">
        <v>5</v>
      </c>
      <c r="B7" s="23">
        <v>1</v>
      </c>
      <c r="C7" s="19">
        <f t="shared" ref="C7:E8" si="2">D7-1</f>
        <v>26</v>
      </c>
      <c r="D7" s="3">
        <f t="shared" si="2"/>
        <v>27</v>
      </c>
      <c r="E7" s="3">
        <f t="shared" si="2"/>
        <v>28</v>
      </c>
      <c r="F7" s="3">
        <v>29</v>
      </c>
      <c r="G7" s="3">
        <f t="shared" ref="G7:H7" si="3">F7+1</f>
        <v>30</v>
      </c>
      <c r="H7" s="3">
        <f t="shared" si="3"/>
        <v>31</v>
      </c>
      <c r="I7" s="3">
        <f>H7+1.5</f>
        <v>32.5</v>
      </c>
      <c r="J7" s="3">
        <f>I7+1.5</f>
        <v>34</v>
      </c>
      <c r="K7" s="3">
        <f>J7+1.5</f>
        <v>35.5</v>
      </c>
      <c r="L7" s="7">
        <f>K7+1.5</f>
        <v>37</v>
      </c>
    </row>
    <row r="8" spans="1:12">
      <c r="A8" s="13" t="s">
        <v>6</v>
      </c>
      <c r="B8" s="23">
        <v>1</v>
      </c>
      <c r="C8" s="19">
        <f t="shared" si="2"/>
        <v>36</v>
      </c>
      <c r="D8" s="3">
        <f t="shared" si="2"/>
        <v>37</v>
      </c>
      <c r="E8" s="3">
        <f t="shared" si="2"/>
        <v>38</v>
      </c>
      <c r="F8" s="3">
        <v>39</v>
      </c>
      <c r="G8" s="3">
        <f>F8+1.2</f>
        <v>40.200000000000003</v>
      </c>
      <c r="H8" s="3">
        <f t="shared" ref="H8" si="4">G8+1.2</f>
        <v>41.400000000000006</v>
      </c>
      <c r="I8" s="3">
        <f>H8+1.8</f>
        <v>43.2</v>
      </c>
      <c r="J8" s="3">
        <f>I8+1.8</f>
        <v>45</v>
      </c>
      <c r="K8" s="3">
        <f>J8+1.8</f>
        <v>46.8</v>
      </c>
      <c r="L8" s="7">
        <f>K8+1.8</f>
        <v>48.599999999999994</v>
      </c>
    </row>
    <row r="9" spans="1:12">
      <c r="A9" s="13" t="s">
        <v>7</v>
      </c>
      <c r="B9" s="23">
        <v>1</v>
      </c>
      <c r="C9" s="19">
        <f t="shared" ref="C9:D12" si="5">D9-1.2</f>
        <v>31.899999999999995</v>
      </c>
      <c r="D9" s="3">
        <f t="shared" si="5"/>
        <v>33.099999999999994</v>
      </c>
      <c r="E9" s="3">
        <f>F9-1.2</f>
        <v>34.299999999999997</v>
      </c>
      <c r="F9" s="3">
        <v>35.5</v>
      </c>
      <c r="G9" s="3">
        <f>F9+1.5</f>
        <v>37</v>
      </c>
      <c r="H9" s="3">
        <f t="shared" ref="H9:L11" si="6">G9+1.5</f>
        <v>38.5</v>
      </c>
      <c r="I9" s="3">
        <f t="shared" si="6"/>
        <v>40</v>
      </c>
      <c r="J9" s="3">
        <f t="shared" si="6"/>
        <v>41.5</v>
      </c>
      <c r="K9" s="3">
        <f t="shared" si="6"/>
        <v>43</v>
      </c>
      <c r="L9" s="7">
        <f t="shared" si="6"/>
        <v>44.5</v>
      </c>
    </row>
    <row r="10" spans="1:12">
      <c r="A10" s="13" t="s">
        <v>35</v>
      </c>
      <c r="B10" s="23">
        <v>1</v>
      </c>
      <c r="C10" s="19">
        <f t="shared" si="5"/>
        <v>29.400000000000002</v>
      </c>
      <c r="D10" s="3">
        <f t="shared" si="5"/>
        <v>30.6</v>
      </c>
      <c r="E10" s="3">
        <f>F10-1.2</f>
        <v>31.8</v>
      </c>
      <c r="F10" s="3">
        <v>33</v>
      </c>
      <c r="G10" s="3">
        <f>F10+1.5</f>
        <v>34.5</v>
      </c>
      <c r="H10" s="3">
        <f t="shared" si="6"/>
        <v>36</v>
      </c>
      <c r="I10" s="3">
        <f t="shared" si="6"/>
        <v>37.5</v>
      </c>
      <c r="J10" s="3">
        <f t="shared" si="6"/>
        <v>39</v>
      </c>
      <c r="K10" s="3">
        <f t="shared" si="6"/>
        <v>40.5</v>
      </c>
      <c r="L10" s="7">
        <f t="shared" si="6"/>
        <v>42</v>
      </c>
    </row>
    <row r="11" spans="1:12">
      <c r="A11" s="13" t="s">
        <v>36</v>
      </c>
      <c r="B11" s="23">
        <v>1</v>
      </c>
      <c r="C11" s="19">
        <f t="shared" si="5"/>
        <v>28.400000000000002</v>
      </c>
      <c r="D11" s="3">
        <f t="shared" si="5"/>
        <v>29.6</v>
      </c>
      <c r="E11" s="3">
        <f>F11-1.2</f>
        <v>30.8</v>
      </c>
      <c r="F11" s="3">
        <v>32</v>
      </c>
      <c r="G11" s="3">
        <f>F11+1.5</f>
        <v>33.5</v>
      </c>
      <c r="H11" s="3">
        <f t="shared" si="6"/>
        <v>35</v>
      </c>
      <c r="I11" s="3">
        <f t="shared" si="6"/>
        <v>36.5</v>
      </c>
      <c r="J11" s="3">
        <f t="shared" si="6"/>
        <v>38</v>
      </c>
      <c r="K11" s="3">
        <f t="shared" si="6"/>
        <v>39.5</v>
      </c>
      <c r="L11" s="7">
        <f t="shared" si="6"/>
        <v>41</v>
      </c>
    </row>
    <row r="12" spans="1:12">
      <c r="A12" s="13" t="s">
        <v>37</v>
      </c>
      <c r="B12" s="23">
        <v>1</v>
      </c>
      <c r="C12" s="19">
        <f t="shared" si="5"/>
        <v>25.400000000000002</v>
      </c>
      <c r="D12" s="3">
        <f t="shared" si="5"/>
        <v>26.6</v>
      </c>
      <c r="E12" s="3">
        <f>F12-1.2</f>
        <v>27.8</v>
      </c>
      <c r="F12" s="3">
        <v>29</v>
      </c>
      <c r="G12" s="3">
        <f>F12+1.2</f>
        <v>30.2</v>
      </c>
      <c r="H12" s="3">
        <f t="shared" ref="H12:L12" si="7">G12+1.2</f>
        <v>31.4</v>
      </c>
      <c r="I12" s="3">
        <f t="shared" si="7"/>
        <v>32.6</v>
      </c>
      <c r="J12" s="3">
        <f t="shared" si="7"/>
        <v>33.800000000000004</v>
      </c>
      <c r="K12" s="3">
        <f t="shared" si="7"/>
        <v>35.000000000000007</v>
      </c>
      <c r="L12" s="7">
        <f t="shared" si="7"/>
        <v>36.20000000000001</v>
      </c>
    </row>
    <row r="13" spans="1:12">
      <c r="A13" s="13" t="s">
        <v>11</v>
      </c>
      <c r="B13" s="23">
        <v>0.5</v>
      </c>
      <c r="C13" s="20">
        <f>F13</f>
        <v>2.5</v>
      </c>
      <c r="D13" s="4">
        <f>F13</f>
        <v>2.5</v>
      </c>
      <c r="E13" s="4">
        <f>F13</f>
        <v>2.5</v>
      </c>
      <c r="F13" s="4">
        <v>2.5</v>
      </c>
      <c r="G13" s="4">
        <f>F13</f>
        <v>2.5</v>
      </c>
      <c r="H13" s="4">
        <f>F13</f>
        <v>2.5</v>
      </c>
      <c r="I13" s="4">
        <f>F13</f>
        <v>2.5</v>
      </c>
      <c r="J13" s="4">
        <f>F13</f>
        <v>2.5</v>
      </c>
      <c r="K13" s="4">
        <f>F13</f>
        <v>2.5</v>
      </c>
      <c r="L13" s="8">
        <f>F13</f>
        <v>2.5</v>
      </c>
    </row>
    <row r="14" spans="1:12">
      <c r="A14" s="13" t="s">
        <v>12</v>
      </c>
      <c r="B14" s="23">
        <v>0.5</v>
      </c>
      <c r="C14" s="20">
        <f t="shared" ref="C14" si="8">F14</f>
        <v>0</v>
      </c>
      <c r="D14" s="4">
        <f t="shared" ref="D14" si="9">F14</f>
        <v>0</v>
      </c>
      <c r="E14" s="4">
        <f t="shared" ref="E14" si="10">F14</f>
        <v>0</v>
      </c>
      <c r="F14" s="4"/>
      <c r="G14" s="4">
        <f t="shared" ref="G14" si="11">F14</f>
        <v>0</v>
      </c>
      <c r="H14" s="4">
        <f t="shared" ref="H14" si="12">F14</f>
        <v>0</v>
      </c>
      <c r="I14" s="4">
        <f t="shared" ref="I14" si="13">F14</f>
        <v>0</v>
      </c>
      <c r="J14" s="4">
        <f t="shared" ref="J14" si="14">F14</f>
        <v>0</v>
      </c>
      <c r="K14" s="4">
        <f t="shared" ref="K14" si="15">F14</f>
        <v>0</v>
      </c>
      <c r="L14" s="8">
        <f t="shared" ref="L14" si="16">F14</f>
        <v>0</v>
      </c>
    </row>
    <row r="15" spans="1:12" ht="15">
      <c r="A15" s="14" t="s">
        <v>13</v>
      </c>
      <c r="B15" s="23">
        <v>1</v>
      </c>
      <c r="C15" s="4">
        <f t="shared" ref="C15:C17" si="17">E15</f>
        <v>76</v>
      </c>
      <c r="D15" s="4">
        <f t="shared" ref="D15:D17" si="18">E15</f>
        <v>76</v>
      </c>
      <c r="E15" s="4">
        <v>76</v>
      </c>
      <c r="F15" s="4">
        <f t="shared" ref="F15:F17" si="19">E15</f>
        <v>76</v>
      </c>
      <c r="G15" s="4">
        <f>F15</f>
        <v>76</v>
      </c>
      <c r="H15" s="4">
        <f t="shared" ref="H15:L17" si="20">G15</f>
        <v>76</v>
      </c>
      <c r="I15" s="4">
        <f t="shared" si="20"/>
        <v>76</v>
      </c>
      <c r="J15" s="4">
        <f t="shared" si="20"/>
        <v>76</v>
      </c>
      <c r="K15" s="8">
        <f t="shared" si="20"/>
        <v>76</v>
      </c>
      <c r="L15" s="8">
        <f t="shared" si="20"/>
        <v>76</v>
      </c>
    </row>
    <row r="16" spans="1:12" ht="15">
      <c r="A16" s="14" t="s">
        <v>14</v>
      </c>
      <c r="B16" s="23">
        <v>1</v>
      </c>
      <c r="C16" s="4">
        <f t="shared" si="17"/>
        <v>80</v>
      </c>
      <c r="D16" s="4">
        <f t="shared" si="18"/>
        <v>80</v>
      </c>
      <c r="E16" s="4">
        <v>80</v>
      </c>
      <c r="F16" s="4">
        <f t="shared" si="19"/>
        <v>80</v>
      </c>
      <c r="G16" s="4">
        <f>F16</f>
        <v>80</v>
      </c>
      <c r="H16" s="4">
        <f t="shared" si="20"/>
        <v>80</v>
      </c>
      <c r="I16" s="4">
        <f t="shared" si="20"/>
        <v>80</v>
      </c>
      <c r="J16" s="4">
        <f t="shared" si="20"/>
        <v>80</v>
      </c>
      <c r="K16" s="8">
        <f t="shared" si="20"/>
        <v>80</v>
      </c>
      <c r="L16" s="8">
        <f t="shared" si="20"/>
        <v>80</v>
      </c>
    </row>
    <row r="17" spans="1:12" ht="15">
      <c r="A17" s="14" t="s">
        <v>15</v>
      </c>
      <c r="B17" s="23">
        <v>1</v>
      </c>
      <c r="C17" s="4">
        <f t="shared" si="17"/>
        <v>88</v>
      </c>
      <c r="D17" s="4">
        <f t="shared" si="18"/>
        <v>88</v>
      </c>
      <c r="E17" s="4">
        <v>88</v>
      </c>
      <c r="F17" s="4">
        <f t="shared" si="19"/>
        <v>88</v>
      </c>
      <c r="G17" s="4">
        <f>F17</f>
        <v>88</v>
      </c>
      <c r="H17" s="4">
        <f t="shared" si="20"/>
        <v>88</v>
      </c>
      <c r="I17" s="4">
        <f t="shared" si="20"/>
        <v>88</v>
      </c>
      <c r="J17" s="4">
        <f t="shared" si="20"/>
        <v>88</v>
      </c>
      <c r="K17" s="8">
        <f t="shared" si="20"/>
        <v>88</v>
      </c>
      <c r="L17" s="8">
        <f t="shared" si="20"/>
        <v>88</v>
      </c>
    </row>
    <row r="18" spans="1:12">
      <c r="A18" s="15" t="s">
        <v>16</v>
      </c>
      <c r="B18" s="23">
        <v>0.5</v>
      </c>
      <c r="C18" s="20">
        <f>F18</f>
        <v>4</v>
      </c>
      <c r="D18" s="4">
        <f>F18</f>
        <v>4</v>
      </c>
      <c r="E18" s="4">
        <f>F18</f>
        <v>4</v>
      </c>
      <c r="F18" s="4">
        <v>4</v>
      </c>
      <c r="G18" s="4">
        <f>F18</f>
        <v>4</v>
      </c>
      <c r="H18" s="4">
        <f>F18</f>
        <v>4</v>
      </c>
      <c r="I18" s="4">
        <f>F18</f>
        <v>4</v>
      </c>
      <c r="J18" s="4">
        <f>F18</f>
        <v>4</v>
      </c>
      <c r="K18" s="4">
        <f>F18</f>
        <v>4</v>
      </c>
      <c r="L18" s="8">
        <f>F18</f>
        <v>4</v>
      </c>
    </row>
    <row r="19" spans="1:12">
      <c r="A19" s="15" t="s">
        <v>17</v>
      </c>
      <c r="B19" s="23">
        <v>0.5</v>
      </c>
      <c r="C19" s="19">
        <f>D19-0</f>
        <v>17.5</v>
      </c>
      <c r="D19" s="3">
        <f>E19-0.5</f>
        <v>17.5</v>
      </c>
      <c r="E19" s="3">
        <f>F19-0</f>
        <v>18</v>
      </c>
      <c r="F19" s="3">
        <v>18</v>
      </c>
      <c r="G19" s="3">
        <f>F19+0.5</f>
        <v>18.5</v>
      </c>
      <c r="H19" s="3">
        <f>G19+0</f>
        <v>18.5</v>
      </c>
      <c r="I19" s="3">
        <f>H19+0.5</f>
        <v>19</v>
      </c>
      <c r="J19" s="3">
        <f>I19+0</f>
        <v>19</v>
      </c>
      <c r="K19" s="3">
        <f>J19+1</f>
        <v>20</v>
      </c>
      <c r="L19" s="7">
        <f>K19+0</f>
        <v>20</v>
      </c>
    </row>
    <row r="20" spans="1:12">
      <c r="A20" s="15" t="s">
        <v>18</v>
      </c>
      <c r="B20" s="23">
        <v>0.5</v>
      </c>
      <c r="C20" s="20">
        <f>F20</f>
        <v>4</v>
      </c>
      <c r="D20" s="4">
        <f>F20</f>
        <v>4</v>
      </c>
      <c r="E20" s="4">
        <f>F20</f>
        <v>4</v>
      </c>
      <c r="F20" s="4">
        <v>4</v>
      </c>
      <c r="G20" s="4">
        <f>F20</f>
        <v>4</v>
      </c>
      <c r="H20" s="4">
        <f>F20</f>
        <v>4</v>
      </c>
      <c r="I20" s="4">
        <f>F20+0.5</f>
        <v>4.5</v>
      </c>
      <c r="J20" s="4">
        <f t="shared" ref="J20:K20" si="21">G20+0.5</f>
        <v>4.5</v>
      </c>
      <c r="K20" s="4">
        <f t="shared" si="21"/>
        <v>4.5</v>
      </c>
      <c r="L20" s="8">
        <f>I20</f>
        <v>4.5</v>
      </c>
    </row>
    <row r="21" spans="1:12">
      <c r="A21" s="15" t="s">
        <v>19</v>
      </c>
      <c r="B21" s="23">
        <v>0.5</v>
      </c>
      <c r="C21" s="19">
        <f>D21-0</f>
        <v>16.5</v>
      </c>
      <c r="D21" s="3">
        <f>E21-0.5</f>
        <v>16.5</v>
      </c>
      <c r="E21" s="3">
        <f>F21-0</f>
        <v>17</v>
      </c>
      <c r="F21" s="3">
        <v>17</v>
      </c>
      <c r="G21" s="3">
        <f>F21+0.5</f>
        <v>17.5</v>
      </c>
      <c r="H21" s="3">
        <f>G21+0</f>
        <v>17.5</v>
      </c>
      <c r="I21" s="3">
        <f>H21+0.5</f>
        <v>18</v>
      </c>
      <c r="J21" s="3">
        <f>I21+0</f>
        <v>18</v>
      </c>
      <c r="K21" s="3">
        <f>J21+1</f>
        <v>19</v>
      </c>
      <c r="L21" s="7">
        <f>K21+0</f>
        <v>19</v>
      </c>
    </row>
    <row r="22" spans="1:12">
      <c r="A22" s="15" t="s">
        <v>20</v>
      </c>
      <c r="B22" s="23">
        <v>0</v>
      </c>
      <c r="C22" s="20">
        <f t="shared" ref="C22:C23" si="22">F22</f>
        <v>1.2</v>
      </c>
      <c r="D22" s="4">
        <f t="shared" ref="D22:D23" si="23">F22</f>
        <v>1.2</v>
      </c>
      <c r="E22" s="4">
        <f t="shared" ref="E22:E23" si="24">F22</f>
        <v>1.2</v>
      </c>
      <c r="F22" s="4">
        <v>1.2</v>
      </c>
      <c r="G22" s="4">
        <f t="shared" ref="G22:G23" si="25">F22</f>
        <v>1.2</v>
      </c>
      <c r="H22" s="4">
        <f t="shared" ref="H22:H23" si="26">F22</f>
        <v>1.2</v>
      </c>
      <c r="I22" s="4">
        <f t="shared" ref="I22:I23" si="27">F22</f>
        <v>1.2</v>
      </c>
      <c r="J22" s="4">
        <f t="shared" ref="J22:J23" si="28">F22</f>
        <v>1.2</v>
      </c>
      <c r="K22" s="4">
        <f t="shared" ref="K22:K23" si="29">F22</f>
        <v>1.2</v>
      </c>
      <c r="L22" s="8">
        <f t="shared" ref="L22:L23" si="30">F22</f>
        <v>1.2</v>
      </c>
    </row>
    <row r="23" spans="1:12">
      <c r="A23" s="15" t="s">
        <v>21</v>
      </c>
      <c r="B23" s="23">
        <v>0</v>
      </c>
      <c r="C23" s="20">
        <f t="shared" si="22"/>
        <v>6</v>
      </c>
      <c r="D23" s="4">
        <f t="shared" si="23"/>
        <v>6</v>
      </c>
      <c r="E23" s="4">
        <f t="shared" si="24"/>
        <v>6</v>
      </c>
      <c r="F23" s="4">
        <v>6</v>
      </c>
      <c r="G23" s="4">
        <f t="shared" si="25"/>
        <v>6</v>
      </c>
      <c r="H23" s="4">
        <f t="shared" si="26"/>
        <v>6</v>
      </c>
      <c r="I23" s="4">
        <f t="shared" si="27"/>
        <v>6</v>
      </c>
      <c r="J23" s="4">
        <f t="shared" si="28"/>
        <v>6</v>
      </c>
      <c r="K23" s="4">
        <f t="shared" si="29"/>
        <v>6</v>
      </c>
      <c r="L23" s="8">
        <f t="shared" si="30"/>
        <v>6</v>
      </c>
    </row>
    <row r="24" spans="1:12">
      <c r="A24" s="16" t="s">
        <v>22</v>
      </c>
      <c r="B24" s="23">
        <v>0.5</v>
      </c>
      <c r="C24" s="20">
        <f t="shared" ref="C24:E25" si="31">D24-0.5</f>
        <v>2.5</v>
      </c>
      <c r="D24" s="4">
        <f t="shared" si="31"/>
        <v>3</v>
      </c>
      <c r="E24" s="4">
        <f t="shared" si="31"/>
        <v>3.5</v>
      </c>
      <c r="F24" s="4">
        <v>4</v>
      </c>
      <c r="G24" s="4">
        <f>F24+0.5</f>
        <v>4.5</v>
      </c>
      <c r="H24" s="4">
        <f>G24+0</f>
        <v>4.5</v>
      </c>
      <c r="I24" s="4">
        <f>H24+0.5</f>
        <v>5</v>
      </c>
      <c r="J24" s="4">
        <f t="shared" ref="J24:L25" si="32">I24+0.5</f>
        <v>5.5</v>
      </c>
      <c r="K24" s="4">
        <f t="shared" si="32"/>
        <v>6</v>
      </c>
      <c r="L24" s="8">
        <f t="shared" si="32"/>
        <v>6.5</v>
      </c>
    </row>
    <row r="25" spans="1:12" ht="15" thickBot="1">
      <c r="A25" s="17" t="s">
        <v>23</v>
      </c>
      <c r="B25" s="24">
        <v>0.5</v>
      </c>
      <c r="C25" s="21">
        <f t="shared" si="31"/>
        <v>14.5</v>
      </c>
      <c r="D25" s="9">
        <f t="shared" si="31"/>
        <v>15</v>
      </c>
      <c r="E25" s="9">
        <f t="shared" si="31"/>
        <v>15.5</v>
      </c>
      <c r="F25" s="9">
        <v>16</v>
      </c>
      <c r="G25" s="9">
        <f>F25+0.5</f>
        <v>16.5</v>
      </c>
      <c r="H25" s="9">
        <f>G25+0.5</f>
        <v>17</v>
      </c>
      <c r="I25" s="9">
        <f>H25+0.5</f>
        <v>17.5</v>
      </c>
      <c r="J25" s="9">
        <f t="shared" si="32"/>
        <v>18</v>
      </c>
      <c r="K25" s="9">
        <f t="shared" si="32"/>
        <v>18.5</v>
      </c>
      <c r="L25" s="10">
        <f t="shared" si="32"/>
        <v>19</v>
      </c>
    </row>
    <row r="26" spans="1:12" ht="15"/>
  </sheetData>
  <mergeCells count="3">
    <mergeCell ref="A1:A2"/>
    <mergeCell ref="B1:B2"/>
    <mergeCell ref="C1:L1"/>
  </mergeCells>
  <pageMargins left="0.7" right="0.7" top="0.75" bottom="0.75" header="0.3" footer="0.3"/>
  <pageSetup paperSize="9" scale="9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12EA-10F2-4748-97E1-ABE851ABE9B2}">
  <sheetPr>
    <tabColor rgb="FF00B0F0"/>
    <pageSetUpPr fitToPage="1"/>
  </sheetPr>
  <dimension ref="A1:L23"/>
  <sheetViews>
    <sheetView zoomScale="96" zoomScaleNormal="96" workbookViewId="0"/>
  </sheetViews>
  <sheetFormatPr defaultRowHeight="14.45"/>
  <cols>
    <col min="1" max="1" width="49.7109375" customWidth="1"/>
    <col min="2" max="2" width="10.42578125" customWidth="1"/>
    <col min="6" max="6" width="8.42578125" customWidth="1"/>
  </cols>
  <sheetData>
    <row r="1" spans="1:12">
      <c r="A1" s="29" t="s">
        <v>0</v>
      </c>
      <c r="B1" s="31" t="s">
        <v>1</v>
      </c>
      <c r="C1" s="35" t="s">
        <v>24</v>
      </c>
      <c r="D1" s="33"/>
      <c r="E1" s="33"/>
      <c r="F1" s="33"/>
      <c r="G1" s="33"/>
      <c r="H1" s="33"/>
      <c r="I1" s="33"/>
      <c r="J1" s="33"/>
      <c r="K1" s="33"/>
      <c r="L1" s="34"/>
    </row>
    <row r="2" spans="1:12">
      <c r="A2" s="30"/>
      <c r="B2" s="32"/>
      <c r="C2" s="1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</row>
    <row r="3" spans="1:12">
      <c r="A3" s="11" t="s">
        <v>2</v>
      </c>
      <c r="B3" s="22">
        <v>1</v>
      </c>
      <c r="C3" s="18">
        <f t="shared" ref="C3:E6" si="0">D3-2.5</f>
        <v>35</v>
      </c>
      <c r="D3" s="5">
        <f t="shared" si="0"/>
        <v>37.5</v>
      </c>
      <c r="E3" s="5">
        <f t="shared" si="0"/>
        <v>40</v>
      </c>
      <c r="F3" s="5">
        <v>42.5</v>
      </c>
      <c r="G3" s="5">
        <f>F3+2.5</f>
        <v>45</v>
      </c>
      <c r="H3" s="5">
        <f t="shared" ref="H3:L6" si="1">G3+2.5</f>
        <v>47.5</v>
      </c>
      <c r="I3" s="5">
        <f t="shared" si="1"/>
        <v>50</v>
      </c>
      <c r="J3" s="5">
        <f t="shared" si="1"/>
        <v>52.5</v>
      </c>
      <c r="K3" s="5">
        <f t="shared" si="1"/>
        <v>55</v>
      </c>
      <c r="L3" s="6">
        <f t="shared" si="1"/>
        <v>57.5</v>
      </c>
    </row>
    <row r="4" spans="1:12">
      <c r="A4" s="12" t="s">
        <v>39</v>
      </c>
      <c r="B4" s="23">
        <v>1</v>
      </c>
      <c r="C4" s="19">
        <f t="shared" si="0"/>
        <v>48.5</v>
      </c>
      <c r="D4" s="3">
        <f t="shared" si="0"/>
        <v>51</v>
      </c>
      <c r="E4" s="3">
        <f t="shared" si="0"/>
        <v>53.5</v>
      </c>
      <c r="F4" s="3">
        <v>56</v>
      </c>
      <c r="G4" s="3">
        <f>F4+2.5</f>
        <v>58.5</v>
      </c>
      <c r="H4" s="3">
        <f t="shared" si="1"/>
        <v>61</v>
      </c>
      <c r="I4" s="3">
        <f t="shared" si="1"/>
        <v>63.5</v>
      </c>
      <c r="J4" s="3">
        <f t="shared" si="1"/>
        <v>66</v>
      </c>
      <c r="K4" s="3">
        <f t="shared" si="1"/>
        <v>68.5</v>
      </c>
      <c r="L4" s="7">
        <f t="shared" si="1"/>
        <v>71</v>
      </c>
    </row>
    <row r="5" spans="1:12">
      <c r="A5" s="13" t="s">
        <v>3</v>
      </c>
      <c r="B5" s="23">
        <v>1</v>
      </c>
      <c r="C5" s="19">
        <f t="shared" si="0"/>
        <v>43.5</v>
      </c>
      <c r="D5" s="3">
        <f t="shared" si="0"/>
        <v>46</v>
      </c>
      <c r="E5" s="3">
        <f t="shared" si="0"/>
        <v>48.5</v>
      </c>
      <c r="F5" s="3">
        <v>51</v>
      </c>
      <c r="G5" s="3">
        <f>F5+2.5</f>
        <v>53.5</v>
      </c>
      <c r="H5" s="3">
        <f t="shared" si="1"/>
        <v>56</v>
      </c>
      <c r="I5" s="3">
        <f t="shared" si="1"/>
        <v>58.5</v>
      </c>
      <c r="J5" s="3">
        <f t="shared" si="1"/>
        <v>61</v>
      </c>
      <c r="K5" s="3">
        <f t="shared" si="1"/>
        <v>63.5</v>
      </c>
      <c r="L5" s="7">
        <f t="shared" si="1"/>
        <v>66</v>
      </c>
    </row>
    <row r="6" spans="1:12">
      <c r="A6" s="13" t="s">
        <v>4</v>
      </c>
      <c r="B6" s="23">
        <v>1</v>
      </c>
      <c r="C6" s="19">
        <f t="shared" si="0"/>
        <v>48.5</v>
      </c>
      <c r="D6" s="3">
        <f t="shared" si="0"/>
        <v>51</v>
      </c>
      <c r="E6" s="3">
        <f t="shared" si="0"/>
        <v>53.5</v>
      </c>
      <c r="F6" s="3">
        <v>56</v>
      </c>
      <c r="G6" s="3">
        <f>F6+2.5</f>
        <v>58.5</v>
      </c>
      <c r="H6" s="3">
        <f t="shared" si="1"/>
        <v>61</v>
      </c>
      <c r="I6" s="3">
        <f t="shared" si="1"/>
        <v>63.5</v>
      </c>
      <c r="J6" s="3">
        <f t="shared" si="1"/>
        <v>66</v>
      </c>
      <c r="K6" s="3">
        <f t="shared" si="1"/>
        <v>68.5</v>
      </c>
      <c r="L6" s="7">
        <f t="shared" si="1"/>
        <v>71</v>
      </c>
    </row>
    <row r="7" spans="1:12">
      <c r="A7" s="13" t="s">
        <v>5</v>
      </c>
      <c r="B7" s="23">
        <v>1</v>
      </c>
      <c r="C7" s="19">
        <f t="shared" ref="C7:E8" si="2">D7-1</f>
        <v>26</v>
      </c>
      <c r="D7" s="3">
        <f t="shared" si="2"/>
        <v>27</v>
      </c>
      <c r="E7" s="3">
        <f t="shared" si="2"/>
        <v>28</v>
      </c>
      <c r="F7" s="3">
        <v>29</v>
      </c>
      <c r="G7" s="3">
        <f t="shared" ref="G7:H7" si="3">F7+1</f>
        <v>30</v>
      </c>
      <c r="H7" s="3">
        <f t="shared" si="3"/>
        <v>31</v>
      </c>
      <c r="I7" s="3">
        <f>H7+1.5</f>
        <v>32.5</v>
      </c>
      <c r="J7" s="3">
        <f>I7+1.5</f>
        <v>34</v>
      </c>
      <c r="K7" s="3">
        <f>J7+1.5</f>
        <v>35.5</v>
      </c>
      <c r="L7" s="7">
        <f>K7+1.5</f>
        <v>37</v>
      </c>
    </row>
    <row r="8" spans="1:12">
      <c r="A8" s="13" t="s">
        <v>6</v>
      </c>
      <c r="B8" s="23">
        <v>1</v>
      </c>
      <c r="C8" s="19">
        <f t="shared" si="2"/>
        <v>36</v>
      </c>
      <c r="D8" s="3">
        <f t="shared" si="2"/>
        <v>37</v>
      </c>
      <c r="E8" s="3">
        <f t="shared" si="2"/>
        <v>38</v>
      </c>
      <c r="F8" s="3">
        <v>39</v>
      </c>
      <c r="G8" s="3">
        <f>F8+1.2</f>
        <v>40.200000000000003</v>
      </c>
      <c r="H8" s="3">
        <f t="shared" ref="H8" si="4">G8+1.2</f>
        <v>41.400000000000006</v>
      </c>
      <c r="I8" s="3">
        <f>H8+1.8</f>
        <v>43.2</v>
      </c>
      <c r="J8" s="3">
        <f>I8+1.8</f>
        <v>45</v>
      </c>
      <c r="K8" s="3">
        <f>J8+1.8</f>
        <v>46.8</v>
      </c>
      <c r="L8" s="7">
        <f>K8+1.8</f>
        <v>48.599999999999994</v>
      </c>
    </row>
    <row r="9" spans="1:12">
      <c r="A9" s="13" t="s">
        <v>7</v>
      </c>
      <c r="B9" s="23">
        <v>1</v>
      </c>
      <c r="C9" s="19">
        <f t="shared" ref="C9:D12" si="5">D9-1.2</f>
        <v>31.899999999999995</v>
      </c>
      <c r="D9" s="3">
        <f t="shared" si="5"/>
        <v>33.099999999999994</v>
      </c>
      <c r="E9" s="3">
        <f>F9-1.2</f>
        <v>34.299999999999997</v>
      </c>
      <c r="F9" s="3">
        <v>35.5</v>
      </c>
      <c r="G9" s="3">
        <f>F9+1.5</f>
        <v>37</v>
      </c>
      <c r="H9" s="3">
        <f t="shared" ref="H9:L11" si="6">G9+1.5</f>
        <v>38.5</v>
      </c>
      <c r="I9" s="3">
        <f t="shared" si="6"/>
        <v>40</v>
      </c>
      <c r="J9" s="3">
        <f t="shared" si="6"/>
        <v>41.5</v>
      </c>
      <c r="K9" s="3">
        <f t="shared" si="6"/>
        <v>43</v>
      </c>
      <c r="L9" s="7">
        <f t="shared" si="6"/>
        <v>44.5</v>
      </c>
    </row>
    <row r="10" spans="1:12">
      <c r="A10" s="13" t="s">
        <v>35</v>
      </c>
      <c r="B10" s="23">
        <v>1</v>
      </c>
      <c r="C10" s="19">
        <f t="shared" si="5"/>
        <v>29.400000000000002</v>
      </c>
      <c r="D10" s="3">
        <f t="shared" si="5"/>
        <v>30.6</v>
      </c>
      <c r="E10" s="3">
        <f>F10-1.2</f>
        <v>31.8</v>
      </c>
      <c r="F10" s="3">
        <v>33</v>
      </c>
      <c r="G10" s="3">
        <f>F10+1.5</f>
        <v>34.5</v>
      </c>
      <c r="H10" s="3">
        <f t="shared" si="6"/>
        <v>36</v>
      </c>
      <c r="I10" s="3">
        <f t="shared" si="6"/>
        <v>37.5</v>
      </c>
      <c r="J10" s="3">
        <f t="shared" si="6"/>
        <v>39</v>
      </c>
      <c r="K10" s="3">
        <f t="shared" si="6"/>
        <v>40.5</v>
      </c>
      <c r="L10" s="7">
        <f t="shared" si="6"/>
        <v>42</v>
      </c>
    </row>
    <row r="11" spans="1:12">
      <c r="A11" s="13" t="s">
        <v>36</v>
      </c>
      <c r="B11" s="23">
        <v>1</v>
      </c>
      <c r="C11" s="19">
        <f t="shared" si="5"/>
        <v>28.400000000000002</v>
      </c>
      <c r="D11" s="3">
        <f t="shared" si="5"/>
        <v>29.6</v>
      </c>
      <c r="E11" s="3">
        <f>F11-1.2</f>
        <v>30.8</v>
      </c>
      <c r="F11" s="3">
        <v>32</v>
      </c>
      <c r="G11" s="3">
        <f>F11+1.5</f>
        <v>33.5</v>
      </c>
      <c r="H11" s="3">
        <f t="shared" si="6"/>
        <v>35</v>
      </c>
      <c r="I11" s="3">
        <f t="shared" si="6"/>
        <v>36.5</v>
      </c>
      <c r="J11" s="3">
        <f t="shared" si="6"/>
        <v>38</v>
      </c>
      <c r="K11" s="3">
        <f t="shared" si="6"/>
        <v>39.5</v>
      </c>
      <c r="L11" s="7">
        <f t="shared" si="6"/>
        <v>41</v>
      </c>
    </row>
    <row r="12" spans="1:12">
      <c r="A12" s="13" t="s">
        <v>37</v>
      </c>
      <c r="B12" s="23">
        <v>1</v>
      </c>
      <c r="C12" s="19">
        <f t="shared" si="5"/>
        <v>25.400000000000002</v>
      </c>
      <c r="D12" s="3">
        <f t="shared" si="5"/>
        <v>26.6</v>
      </c>
      <c r="E12" s="3">
        <f>F12-1.2</f>
        <v>27.8</v>
      </c>
      <c r="F12" s="3">
        <v>29</v>
      </c>
      <c r="G12" s="3">
        <f>F12+1.2</f>
        <v>30.2</v>
      </c>
      <c r="H12" s="3">
        <f t="shared" ref="H12:L12" si="7">G12+1.2</f>
        <v>31.4</v>
      </c>
      <c r="I12" s="3">
        <f t="shared" si="7"/>
        <v>32.6</v>
      </c>
      <c r="J12" s="3">
        <f t="shared" si="7"/>
        <v>33.800000000000004</v>
      </c>
      <c r="K12" s="3">
        <f t="shared" si="7"/>
        <v>35.000000000000007</v>
      </c>
      <c r="L12" s="7">
        <f t="shared" si="7"/>
        <v>36.20000000000001</v>
      </c>
    </row>
    <row r="13" spans="1:12">
      <c r="A13" s="13" t="s">
        <v>11</v>
      </c>
      <c r="B13" s="23">
        <v>0.5</v>
      </c>
      <c r="C13" s="20">
        <f>F13</f>
        <v>2.5</v>
      </c>
      <c r="D13" s="4">
        <f>F13</f>
        <v>2.5</v>
      </c>
      <c r="E13" s="4">
        <f>F13</f>
        <v>2.5</v>
      </c>
      <c r="F13" s="4">
        <v>2.5</v>
      </c>
      <c r="G13" s="4">
        <f>F13</f>
        <v>2.5</v>
      </c>
      <c r="H13" s="4">
        <f>F13</f>
        <v>2.5</v>
      </c>
      <c r="I13" s="4">
        <f>F13</f>
        <v>2.5</v>
      </c>
      <c r="J13" s="4">
        <f>F13</f>
        <v>2.5</v>
      </c>
      <c r="K13" s="4">
        <f>F13</f>
        <v>2.5</v>
      </c>
      <c r="L13" s="8">
        <f>F13</f>
        <v>2.5</v>
      </c>
    </row>
    <row r="14" spans="1:12">
      <c r="A14" s="13" t="s">
        <v>12</v>
      </c>
      <c r="B14" s="23">
        <v>0.5</v>
      </c>
      <c r="C14" s="20">
        <f t="shared" ref="C14:C15" si="8">F14</f>
        <v>0</v>
      </c>
      <c r="D14" s="4">
        <f t="shared" ref="D14:D15" si="9">F14</f>
        <v>0</v>
      </c>
      <c r="E14" s="4">
        <f t="shared" ref="E14:E15" si="10">F14</f>
        <v>0</v>
      </c>
      <c r="F14" s="4"/>
      <c r="G14" s="4">
        <f t="shared" ref="G14:G15" si="11">F14</f>
        <v>0</v>
      </c>
      <c r="H14" s="4">
        <f t="shared" ref="H14" si="12">F14</f>
        <v>0</v>
      </c>
      <c r="I14" s="4">
        <f t="shared" ref="I14" si="13">F14</f>
        <v>0</v>
      </c>
      <c r="J14" s="4">
        <f t="shared" ref="J14" si="14">F14</f>
        <v>0</v>
      </c>
      <c r="K14" s="4">
        <f t="shared" ref="K14" si="15">F14</f>
        <v>0</v>
      </c>
      <c r="L14" s="8">
        <f t="shared" ref="L14" si="16">F14</f>
        <v>0</v>
      </c>
    </row>
    <row r="15" spans="1:12">
      <c r="A15" s="14" t="s">
        <v>38</v>
      </c>
      <c r="B15" s="23">
        <v>1</v>
      </c>
      <c r="C15" s="20">
        <f t="shared" si="8"/>
        <v>80</v>
      </c>
      <c r="D15" s="4">
        <f t="shared" si="9"/>
        <v>80</v>
      </c>
      <c r="E15" s="4">
        <f t="shared" si="10"/>
        <v>80</v>
      </c>
      <c r="F15" s="4">
        <v>80</v>
      </c>
      <c r="G15" s="4">
        <f t="shared" si="11"/>
        <v>80</v>
      </c>
      <c r="H15" s="4">
        <f>G15</f>
        <v>80</v>
      </c>
      <c r="I15" s="4">
        <f t="shared" ref="I15:L15" si="17">H15</f>
        <v>80</v>
      </c>
      <c r="J15" s="4">
        <f t="shared" si="17"/>
        <v>80</v>
      </c>
      <c r="K15" s="4">
        <f t="shared" si="17"/>
        <v>80</v>
      </c>
      <c r="L15" s="8">
        <f t="shared" si="17"/>
        <v>80</v>
      </c>
    </row>
    <row r="16" spans="1:12">
      <c r="A16" s="15" t="s">
        <v>16</v>
      </c>
      <c r="B16" s="23">
        <v>0.5</v>
      </c>
      <c r="C16" s="20">
        <f>F16</f>
        <v>4</v>
      </c>
      <c r="D16" s="4">
        <f>F16</f>
        <v>4</v>
      </c>
      <c r="E16" s="4">
        <f>F16</f>
        <v>4</v>
      </c>
      <c r="F16" s="4">
        <v>4</v>
      </c>
      <c r="G16" s="4">
        <f>F16</f>
        <v>4</v>
      </c>
      <c r="H16" s="4">
        <f>F16</f>
        <v>4</v>
      </c>
      <c r="I16" s="4">
        <f>F16</f>
        <v>4</v>
      </c>
      <c r="J16" s="4">
        <f>F16</f>
        <v>4</v>
      </c>
      <c r="K16" s="4">
        <f>F16</f>
        <v>4</v>
      </c>
      <c r="L16" s="8">
        <f>F16</f>
        <v>4</v>
      </c>
    </row>
    <row r="17" spans="1:12">
      <c r="A17" s="15" t="s">
        <v>17</v>
      </c>
      <c r="B17" s="23">
        <v>0.5</v>
      </c>
      <c r="C17" s="19">
        <f>D17-0</f>
        <v>17.5</v>
      </c>
      <c r="D17" s="3">
        <f>E17-0.5</f>
        <v>17.5</v>
      </c>
      <c r="E17" s="3">
        <f>F17-0</f>
        <v>18</v>
      </c>
      <c r="F17" s="3">
        <v>18</v>
      </c>
      <c r="G17" s="3">
        <f>F17+0.5</f>
        <v>18.5</v>
      </c>
      <c r="H17" s="3">
        <f>G17+0</f>
        <v>18.5</v>
      </c>
      <c r="I17" s="3">
        <f>H17+0.5</f>
        <v>19</v>
      </c>
      <c r="J17" s="3">
        <f>I17+0</f>
        <v>19</v>
      </c>
      <c r="K17" s="3">
        <f>J17+1</f>
        <v>20</v>
      </c>
      <c r="L17" s="7">
        <f>K17+0</f>
        <v>20</v>
      </c>
    </row>
    <row r="18" spans="1:12">
      <c r="A18" s="15" t="s">
        <v>18</v>
      </c>
      <c r="B18" s="23">
        <v>0.5</v>
      </c>
      <c r="C18" s="20">
        <f>F18</f>
        <v>4</v>
      </c>
      <c r="D18" s="4">
        <f>F18</f>
        <v>4</v>
      </c>
      <c r="E18" s="4">
        <f>F18</f>
        <v>4</v>
      </c>
      <c r="F18" s="4">
        <v>4</v>
      </c>
      <c r="G18" s="4">
        <f>F18</f>
        <v>4</v>
      </c>
      <c r="H18" s="4">
        <f>F18</f>
        <v>4</v>
      </c>
      <c r="I18" s="4">
        <f>F18+0.5</f>
        <v>4.5</v>
      </c>
      <c r="J18" s="4">
        <f t="shared" ref="J18:K18" si="18">G18+0.5</f>
        <v>4.5</v>
      </c>
      <c r="K18" s="4">
        <f t="shared" si="18"/>
        <v>4.5</v>
      </c>
      <c r="L18" s="8">
        <f>I18</f>
        <v>4.5</v>
      </c>
    </row>
    <row r="19" spans="1:12">
      <c r="A19" s="15" t="s">
        <v>19</v>
      </c>
      <c r="B19" s="23">
        <v>0.5</v>
      </c>
      <c r="C19" s="19">
        <f>D19-0</f>
        <v>16.5</v>
      </c>
      <c r="D19" s="3">
        <f>E19-0.5</f>
        <v>16.5</v>
      </c>
      <c r="E19" s="3">
        <f>F19-0</f>
        <v>17</v>
      </c>
      <c r="F19" s="3">
        <v>17</v>
      </c>
      <c r="G19" s="3">
        <f>F19+0.5</f>
        <v>17.5</v>
      </c>
      <c r="H19" s="3">
        <f>G19+0</f>
        <v>17.5</v>
      </c>
      <c r="I19" s="3">
        <f>H19+0.5</f>
        <v>18</v>
      </c>
      <c r="J19" s="3">
        <f>I19+0</f>
        <v>18</v>
      </c>
      <c r="K19" s="3">
        <f>J19+1</f>
        <v>19</v>
      </c>
      <c r="L19" s="7">
        <f>K19+0</f>
        <v>19</v>
      </c>
    </row>
    <row r="20" spans="1:12">
      <c r="A20" s="15" t="s">
        <v>20</v>
      </c>
      <c r="B20" s="23">
        <v>0</v>
      </c>
      <c r="C20" s="20">
        <f t="shared" ref="C20:C21" si="19">F20</f>
        <v>1.2</v>
      </c>
      <c r="D20" s="4">
        <f t="shared" ref="D20:D21" si="20">F20</f>
        <v>1.2</v>
      </c>
      <c r="E20" s="4">
        <f t="shared" ref="E20:E21" si="21">F20</f>
        <v>1.2</v>
      </c>
      <c r="F20" s="4">
        <v>1.2</v>
      </c>
      <c r="G20" s="4">
        <f t="shared" ref="G20:G21" si="22">F20</f>
        <v>1.2</v>
      </c>
      <c r="H20" s="4">
        <f t="shared" ref="H20:H21" si="23">F20</f>
        <v>1.2</v>
      </c>
      <c r="I20" s="4">
        <f t="shared" ref="I20:I21" si="24">F20</f>
        <v>1.2</v>
      </c>
      <c r="J20" s="4">
        <f t="shared" ref="J20:J21" si="25">F20</f>
        <v>1.2</v>
      </c>
      <c r="K20" s="4">
        <f t="shared" ref="K20:K21" si="26">F20</f>
        <v>1.2</v>
      </c>
      <c r="L20" s="8">
        <f t="shared" ref="L20:L21" si="27">F20</f>
        <v>1.2</v>
      </c>
    </row>
    <row r="21" spans="1:12">
      <c r="A21" s="15" t="s">
        <v>21</v>
      </c>
      <c r="B21" s="23">
        <v>0</v>
      </c>
      <c r="C21" s="20">
        <f t="shared" si="19"/>
        <v>6</v>
      </c>
      <c r="D21" s="4">
        <f t="shared" si="20"/>
        <v>6</v>
      </c>
      <c r="E21" s="4">
        <f t="shared" si="21"/>
        <v>6</v>
      </c>
      <c r="F21" s="4">
        <v>6</v>
      </c>
      <c r="G21" s="4">
        <f t="shared" si="22"/>
        <v>6</v>
      </c>
      <c r="H21" s="4">
        <f t="shared" si="23"/>
        <v>6</v>
      </c>
      <c r="I21" s="4">
        <f t="shared" si="24"/>
        <v>6</v>
      </c>
      <c r="J21" s="4">
        <f t="shared" si="25"/>
        <v>6</v>
      </c>
      <c r="K21" s="4">
        <f t="shared" si="26"/>
        <v>6</v>
      </c>
      <c r="L21" s="8">
        <f t="shared" si="27"/>
        <v>6</v>
      </c>
    </row>
    <row r="22" spans="1:12">
      <c r="A22" s="16" t="s">
        <v>22</v>
      </c>
      <c r="B22" s="23">
        <v>0.5</v>
      </c>
      <c r="C22" s="20">
        <f t="shared" ref="C22:E23" si="28">D22-0.5</f>
        <v>2.5</v>
      </c>
      <c r="D22" s="4">
        <f t="shared" si="28"/>
        <v>3</v>
      </c>
      <c r="E22" s="4">
        <f t="shared" si="28"/>
        <v>3.5</v>
      </c>
      <c r="F22" s="4">
        <v>4</v>
      </c>
      <c r="G22" s="4">
        <f>F22+0.5</f>
        <v>4.5</v>
      </c>
      <c r="H22" s="4">
        <f>G22+0</f>
        <v>4.5</v>
      </c>
      <c r="I22" s="4">
        <f>H22+0.5</f>
        <v>5</v>
      </c>
      <c r="J22" s="4">
        <f t="shared" ref="J22:L23" si="29">I22+0.5</f>
        <v>5.5</v>
      </c>
      <c r="K22" s="4">
        <f t="shared" si="29"/>
        <v>6</v>
      </c>
      <c r="L22" s="8">
        <f t="shared" si="29"/>
        <v>6.5</v>
      </c>
    </row>
    <row r="23" spans="1:12">
      <c r="A23" s="17" t="s">
        <v>23</v>
      </c>
      <c r="B23" s="24">
        <v>0.5</v>
      </c>
      <c r="C23" s="21">
        <f t="shared" si="28"/>
        <v>14.5</v>
      </c>
      <c r="D23" s="9">
        <f t="shared" si="28"/>
        <v>15</v>
      </c>
      <c r="E23" s="9">
        <f t="shared" si="28"/>
        <v>15.5</v>
      </c>
      <c r="F23" s="9">
        <v>16</v>
      </c>
      <c r="G23" s="9">
        <f>F23+0.5</f>
        <v>16.5</v>
      </c>
      <c r="H23" s="9">
        <f>G23+0.5</f>
        <v>17</v>
      </c>
      <c r="I23" s="9">
        <f>H23+0.5</f>
        <v>17.5</v>
      </c>
      <c r="J23" s="9">
        <f t="shared" si="29"/>
        <v>18</v>
      </c>
      <c r="K23" s="9">
        <f t="shared" si="29"/>
        <v>18.5</v>
      </c>
      <c r="L23" s="10">
        <f t="shared" si="29"/>
        <v>19</v>
      </c>
    </row>
  </sheetData>
  <mergeCells count="3">
    <mergeCell ref="A1:A2"/>
    <mergeCell ref="B1:B2"/>
    <mergeCell ref="C1:L1"/>
  </mergeCells>
  <pageMargins left="0.7" right="0.7" top="0.75" bottom="0.75" header="0.3" footer="0.3"/>
  <pageSetup paperSize="9" scale="97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LOCKAPPROVED xmlns="ac0294f4-4970-4891-b816-102ab340a9f2" xsi:nil="true"/>
    <lcf76f155ced4ddcb4097134ff3c332f xmlns="ac0294f4-4970-4891-b816-102ab340a9f2">
      <Terms xmlns="http://schemas.microsoft.com/office/infopath/2007/PartnerControls"/>
    </lcf76f155ced4ddcb4097134ff3c332f>
    <TaxCatchAll xmlns="8c902929-c11e-4be2-b1f0-be14cee91bf8" xsi:nil="true"/>
    <Status xmlns="ac0294f4-4970-4891-b816-102ab340a9f2">Incomplete</Statu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ADAB1D509EE146BEEBD765699BB749" ma:contentTypeVersion="20" ma:contentTypeDescription="Create a new document." ma:contentTypeScope="" ma:versionID="f0c752b930dceb3a5591959a7faf9408">
  <xsd:schema xmlns:xsd="http://www.w3.org/2001/XMLSchema" xmlns:xs="http://www.w3.org/2001/XMLSchema" xmlns:p="http://schemas.microsoft.com/office/2006/metadata/properties" xmlns:ns2="ac0294f4-4970-4891-b816-102ab340a9f2" xmlns:ns3="8c902929-c11e-4be2-b1f0-be14cee91bf8" targetNamespace="http://schemas.microsoft.com/office/2006/metadata/properties" ma:root="true" ma:fieldsID="a92bb2dfa7e0f4bf0aabd630a8cf7e0a" ns2:_="" ns3:_="">
    <xsd:import namespace="ac0294f4-4970-4891-b816-102ab340a9f2"/>
    <xsd:import namespace="8c902929-c11e-4be2-b1f0-be14cee91b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Status" minOccurs="0"/>
                <xsd:element ref="ns2:MediaServiceObjectDetectorVersions" minOccurs="0"/>
                <xsd:element ref="ns2:BLOCKAPPROVED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294f4-4970-4891-b816-102ab340a9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4eae7cc-d08f-4d9c-af47-0001170d57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nillable="true" ma:displayName="Status" ma:default="Incomplete" ma:internalName="Status">
      <xsd:simpleType>
        <xsd:restriction base="dms:Unknown">
          <xsd:enumeration value="Incomplete"/>
          <xsd:enumeration value="Complete"/>
          <xsd:enumeration value="Waiting for another sample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BLOCKAPPROVED" ma:index="26" nillable="true" ma:displayName="BLOCK APPROVED" ma:format="Dropdown" ma:internalName="BLOCKAPPROVED">
      <xsd:simpleType>
        <xsd:restriction base="dms:Choice">
          <xsd:enumeration value="APPROVAL DATE 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02929-c11e-4be2-b1f0-be14cee91b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18ecc04-e826-4a7d-b941-794c1cb025d8}" ma:internalName="TaxCatchAll" ma:showField="CatchAllData" ma:web="8c902929-c11e-4be2-b1f0-be14cee91b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BFDD08-740A-4774-8229-EE9B810011BE}"/>
</file>

<file path=customXml/itemProps2.xml><?xml version="1.0" encoding="utf-8"?>
<ds:datastoreItem xmlns:ds="http://schemas.openxmlformats.org/officeDocument/2006/customXml" ds:itemID="{F60480FE-6E08-49DE-9DC7-087A23E59AF5}"/>
</file>

<file path=customXml/itemProps3.xml><?xml version="1.0" encoding="utf-8"?>
<ds:datastoreItem xmlns:ds="http://schemas.openxmlformats.org/officeDocument/2006/customXml" ds:itemID="{824E7125-E133-45B3-B3AF-EE4A74BA8C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 Wainwright</dc:creator>
  <cp:keywords/>
  <dc:description/>
  <cp:lastModifiedBy>Annabel Johnson</cp:lastModifiedBy>
  <cp:revision/>
  <dcterms:created xsi:type="dcterms:W3CDTF">2024-09-18T11:19:47Z</dcterms:created>
  <dcterms:modified xsi:type="dcterms:W3CDTF">2025-04-14T15:12:21Z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0x010100C0ADAB1D509EE146BEEBD765699BB749</vt:lpwstr>
  </property>
  <property fmtid="{D5CDD505-2E9C-101B-9397-08002B2CF9AE}" pid="3" name="MediaServiceImageTags">
    <vt:lpwstr/>
  </property>
</Properties>
</file>