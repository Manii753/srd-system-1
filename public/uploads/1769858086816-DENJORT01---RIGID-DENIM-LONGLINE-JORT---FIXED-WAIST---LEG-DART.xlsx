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https://boohooplc.sharepoint.com/sites/Qualityworkbooks/Shared Documents/SPEC LIBRARY/APPROVED BLOCK SPEC LIBRARY/MENSWEAR/BOOHOOMAN/DENIM/JORTS - UPDATED 14 05 24/"/>
    </mc:Choice>
  </mc:AlternateContent>
  <xr:revisionPtr revIDLastSave="327" documentId="13_ncr:1_{333D688D-E60D-44ED-8053-86D05DBEF695}" xr6:coauthVersionLast="47" xr6:coauthVersionMax="47" xr10:uidLastSave="{CC1D9256-3B9E-4242-A5D8-AE84D37E0085}"/>
  <bookViews>
    <workbookView xWindow="-120" yWindow="-120" windowWidth="29040" windowHeight="15720" firstSheet="1" activeTab="1" xr2:uid="{00000000-000D-0000-FFFF-FFFF00000000}"/>
  </bookViews>
  <sheets>
    <sheet name="TALL ONLY " sheetId="2" state="hidden" r:id="rId1"/>
    <sheet name="17.05.23" sheetId="1" r:id="rId2"/>
    <sheet name="BMM85561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" l="1"/>
  <c r="L26" i="3" s="1"/>
  <c r="N26" i="3" s="1"/>
  <c r="O26" i="3" s="1"/>
  <c r="P26" i="3" s="1"/>
  <c r="Q26" i="3" s="1"/>
  <c r="R26" i="3" s="1"/>
  <c r="F26" i="3"/>
  <c r="D26" i="3" s="1"/>
  <c r="C26" i="3" s="1"/>
  <c r="L25" i="3"/>
  <c r="N25" i="3" s="1"/>
  <c r="O25" i="3" s="1"/>
  <c r="P25" i="3" s="1"/>
  <c r="Q25" i="3" s="1"/>
  <c r="R25" i="3" s="1"/>
  <c r="J25" i="3"/>
  <c r="F25" i="3"/>
  <c r="D25" i="3" s="1"/>
  <c r="C25" i="3" s="1"/>
  <c r="L24" i="3"/>
  <c r="N24" i="3" s="1"/>
  <c r="O24" i="3" s="1"/>
  <c r="P24" i="3" s="1"/>
  <c r="Q24" i="3" s="1"/>
  <c r="R24" i="3" s="1"/>
  <c r="J24" i="3"/>
  <c r="F24" i="3"/>
  <c r="D24" i="3" s="1"/>
  <c r="C24" i="3" s="1"/>
  <c r="J23" i="3"/>
  <c r="L23" i="3" s="1"/>
  <c r="N23" i="3" s="1"/>
  <c r="O23" i="3" s="1"/>
  <c r="P23" i="3" s="1"/>
  <c r="Q23" i="3" s="1"/>
  <c r="R23" i="3" s="1"/>
  <c r="F23" i="3"/>
  <c r="D23" i="3"/>
  <c r="C23" i="3"/>
  <c r="J22" i="3"/>
  <c r="L22" i="3" s="1"/>
  <c r="N22" i="3" s="1"/>
  <c r="O22" i="3" s="1"/>
  <c r="P22" i="3" s="1"/>
  <c r="Q22" i="3" s="1"/>
  <c r="R22" i="3" s="1"/>
  <c r="F22" i="3"/>
  <c r="D22" i="3" s="1"/>
  <c r="C22" i="3" s="1"/>
  <c r="L21" i="3"/>
  <c r="N21" i="3" s="1"/>
  <c r="O21" i="3" s="1"/>
  <c r="P21" i="3" s="1"/>
  <c r="Q21" i="3" s="1"/>
  <c r="R21" i="3" s="1"/>
  <c r="J21" i="3"/>
  <c r="F21" i="3"/>
  <c r="D21" i="3" s="1"/>
  <c r="C21" i="3" s="1"/>
  <c r="J20" i="3"/>
  <c r="L20" i="3" s="1"/>
  <c r="N20" i="3" s="1"/>
  <c r="O20" i="3" s="1"/>
  <c r="P20" i="3" s="1"/>
  <c r="Q20" i="3" s="1"/>
  <c r="R20" i="3" s="1"/>
  <c r="F20" i="3"/>
  <c r="D20" i="3"/>
  <c r="C20" i="3" s="1"/>
  <c r="J19" i="3"/>
  <c r="L19" i="3" s="1"/>
  <c r="N19" i="3" s="1"/>
  <c r="O19" i="3" s="1"/>
  <c r="P19" i="3" s="1"/>
  <c r="Q19" i="3" s="1"/>
  <c r="R19" i="3" s="1"/>
  <c r="F19" i="3"/>
  <c r="D19" i="3" s="1"/>
  <c r="C19" i="3" s="1"/>
  <c r="J18" i="3"/>
  <c r="L18" i="3" s="1"/>
  <c r="N18" i="3" s="1"/>
  <c r="O18" i="3" s="1"/>
  <c r="P18" i="3" s="1"/>
  <c r="Q18" i="3" s="1"/>
  <c r="R18" i="3" s="1"/>
  <c r="F18" i="3"/>
  <c r="D18" i="3" s="1"/>
  <c r="C18" i="3" s="1"/>
  <c r="L17" i="3"/>
  <c r="N17" i="3" s="1"/>
  <c r="O17" i="3" s="1"/>
  <c r="P17" i="3" s="1"/>
  <c r="Q17" i="3" s="1"/>
  <c r="R17" i="3" s="1"/>
  <c r="J17" i="3"/>
  <c r="F17" i="3"/>
  <c r="D17" i="3"/>
  <c r="C17" i="3" s="1"/>
  <c r="H16" i="3"/>
  <c r="J16" i="3" s="1"/>
  <c r="L16" i="3" s="1"/>
  <c r="N16" i="3" s="1"/>
  <c r="O16" i="3" s="1"/>
  <c r="P16" i="3" s="1"/>
  <c r="Q16" i="3" s="1"/>
  <c r="R16" i="3" s="1"/>
  <c r="D16" i="3"/>
  <c r="C16" i="3" s="1"/>
  <c r="J15" i="3"/>
  <c r="L15" i="3" s="1"/>
  <c r="N15" i="3" s="1"/>
  <c r="O15" i="3" s="1"/>
  <c r="P15" i="3" s="1"/>
  <c r="Q15" i="3" s="1"/>
  <c r="R15" i="3" s="1"/>
  <c r="D15" i="3"/>
  <c r="C15" i="3" s="1"/>
  <c r="J14" i="3"/>
  <c r="L14" i="3" s="1"/>
  <c r="N14" i="3" s="1"/>
  <c r="O14" i="3" s="1"/>
  <c r="P14" i="3" s="1"/>
  <c r="Q14" i="3" s="1"/>
  <c r="R14" i="3" s="1"/>
  <c r="F14" i="3"/>
  <c r="D14" i="3"/>
  <c r="C14" i="3" s="1"/>
  <c r="J13" i="3"/>
  <c r="L13" i="3" s="1"/>
  <c r="N13" i="3" s="1"/>
  <c r="O13" i="3" s="1"/>
  <c r="P13" i="3" s="1"/>
  <c r="Q13" i="3" s="1"/>
  <c r="R13" i="3" s="1"/>
  <c r="F13" i="3"/>
  <c r="D13" i="3" s="1"/>
  <c r="C13" i="3" s="1"/>
  <c r="Q12" i="3"/>
  <c r="P12" i="3"/>
  <c r="O12" i="3"/>
  <c r="N12" i="3"/>
  <c r="L12" i="3"/>
  <c r="J12" i="3"/>
  <c r="R12" i="3" s="1"/>
  <c r="F12" i="3"/>
  <c r="D12" i="3"/>
  <c r="C12" i="3"/>
  <c r="Q11" i="3"/>
  <c r="P11" i="3"/>
  <c r="O11" i="3"/>
  <c r="N11" i="3"/>
  <c r="L11" i="3"/>
  <c r="J11" i="3"/>
  <c r="R11" i="3" s="1"/>
  <c r="F11" i="3"/>
  <c r="D11" i="3"/>
  <c r="C11" i="3"/>
  <c r="J10" i="3"/>
  <c r="L10" i="3" s="1"/>
  <c r="N10" i="3" s="1"/>
  <c r="O10" i="3" s="1"/>
  <c r="P10" i="3" s="1"/>
  <c r="Q10" i="3" s="1"/>
  <c r="R10" i="3" s="1"/>
  <c r="F10" i="3"/>
  <c r="D10" i="3"/>
  <c r="C10" i="3" s="1"/>
  <c r="J9" i="3"/>
  <c r="L9" i="3" s="1"/>
  <c r="N9" i="3" s="1"/>
  <c r="O9" i="3" s="1"/>
  <c r="P9" i="3" s="1"/>
  <c r="Q9" i="3" s="1"/>
  <c r="R9" i="3" s="1"/>
  <c r="F9" i="3"/>
  <c r="D9" i="3" s="1"/>
  <c r="C9" i="3" s="1"/>
  <c r="J8" i="3"/>
  <c r="L8" i="3" s="1"/>
  <c r="N8" i="3" s="1"/>
  <c r="O8" i="3" s="1"/>
  <c r="P8" i="3" s="1"/>
  <c r="Q8" i="3" s="1"/>
  <c r="R8" i="3" s="1"/>
  <c r="F8" i="3"/>
  <c r="D8" i="3" s="1"/>
  <c r="C8" i="3" s="1"/>
  <c r="J7" i="3"/>
  <c r="L7" i="3" s="1"/>
  <c r="N7" i="3" s="1"/>
  <c r="O7" i="3" s="1"/>
  <c r="P7" i="3" s="1"/>
  <c r="Q7" i="3" s="1"/>
  <c r="R7" i="3" s="1"/>
  <c r="F7" i="3"/>
  <c r="D7" i="3" s="1"/>
  <c r="C7" i="3" s="1"/>
  <c r="J6" i="3"/>
  <c r="L6" i="3" s="1"/>
  <c r="N6" i="3" s="1"/>
  <c r="O6" i="3" s="1"/>
  <c r="P6" i="3" s="1"/>
  <c r="Q6" i="3" s="1"/>
  <c r="R6" i="3" s="1"/>
  <c r="F6" i="3"/>
  <c r="D6" i="3"/>
  <c r="C6" i="3" s="1"/>
  <c r="J5" i="3"/>
  <c r="L5" i="3" s="1"/>
  <c r="N5" i="3" s="1"/>
  <c r="O5" i="3" s="1"/>
  <c r="P5" i="3" s="1"/>
  <c r="Q5" i="3" s="1"/>
  <c r="R5" i="3" s="1"/>
  <c r="F5" i="3"/>
  <c r="D5" i="3" s="1"/>
  <c r="C5" i="3" s="1"/>
  <c r="J4" i="3"/>
  <c r="L4" i="3" s="1"/>
  <c r="N4" i="3" s="1"/>
  <c r="O4" i="3" s="1"/>
  <c r="P4" i="3" s="1"/>
  <c r="Q4" i="3" s="1"/>
  <c r="R4" i="3" s="1"/>
  <c r="F4" i="3"/>
  <c r="D4" i="3" s="1"/>
  <c r="C4" i="3" s="1"/>
  <c r="J3" i="3"/>
  <c r="L3" i="3" s="1"/>
  <c r="N3" i="3" s="1"/>
  <c r="O3" i="3" s="1"/>
  <c r="P3" i="3" s="1"/>
  <c r="Q3" i="3" s="1"/>
  <c r="R3" i="3" s="1"/>
  <c r="F3" i="3"/>
  <c r="D3" i="3" s="1"/>
  <c r="C3" i="3" s="1"/>
  <c r="G7" i="1"/>
  <c r="E26" i="2"/>
  <c r="F26" i="2" s="1"/>
  <c r="G26" i="2" s="1"/>
  <c r="H26" i="2" s="1"/>
  <c r="C26" i="2"/>
  <c r="E25" i="2"/>
  <c r="F25" i="2" s="1"/>
  <c r="G25" i="2" s="1"/>
  <c r="H25" i="2" s="1"/>
  <c r="C25" i="2"/>
  <c r="E24" i="2"/>
  <c r="F24" i="2" s="1"/>
  <c r="G24" i="2" s="1"/>
  <c r="H24" i="2" s="1"/>
  <c r="C24" i="2"/>
  <c r="E23" i="2"/>
  <c r="F23" i="2" s="1"/>
  <c r="G23" i="2" s="1"/>
  <c r="H23" i="2" s="1"/>
  <c r="C23" i="2"/>
  <c r="E22" i="2"/>
  <c r="F22" i="2" s="1"/>
  <c r="G22" i="2" s="1"/>
  <c r="H22" i="2" s="1"/>
  <c r="C22" i="2"/>
  <c r="E21" i="2"/>
  <c r="F21" i="2" s="1"/>
  <c r="G21" i="2" s="1"/>
  <c r="H21" i="2" s="1"/>
  <c r="C21" i="2"/>
  <c r="E20" i="2"/>
  <c r="F20" i="2" s="1"/>
  <c r="G20" i="2" s="1"/>
  <c r="H20" i="2" s="1"/>
  <c r="C20" i="2"/>
  <c r="E19" i="2"/>
  <c r="F19" i="2" s="1"/>
  <c r="G19" i="2" s="1"/>
  <c r="H19" i="2" s="1"/>
  <c r="C19" i="2"/>
  <c r="E18" i="2"/>
  <c r="F18" i="2" s="1"/>
  <c r="G18" i="2" s="1"/>
  <c r="H18" i="2" s="1"/>
  <c r="C18" i="2"/>
  <c r="E17" i="2"/>
  <c r="F17" i="2" s="1"/>
  <c r="G17" i="2" s="1"/>
  <c r="H17" i="2" s="1"/>
  <c r="C17" i="2"/>
  <c r="D16" i="2"/>
  <c r="E16" i="2" s="1"/>
  <c r="F16" i="2" s="1"/>
  <c r="G16" i="2" s="1"/>
  <c r="H16" i="2" s="1"/>
  <c r="E15" i="2"/>
  <c r="F15" i="2" s="1"/>
  <c r="G15" i="2" s="1"/>
  <c r="H15" i="2" s="1"/>
  <c r="E14" i="2"/>
  <c r="F14" i="2" s="1"/>
  <c r="G14" i="2" s="1"/>
  <c r="H14" i="2" s="1"/>
  <c r="C14" i="2"/>
  <c r="E13" i="2"/>
  <c r="F13" i="2" s="1"/>
  <c r="G13" i="2" s="1"/>
  <c r="H13" i="2" s="1"/>
  <c r="C13" i="2"/>
  <c r="H12" i="2"/>
  <c r="G12" i="2"/>
  <c r="F12" i="2"/>
  <c r="E12" i="2"/>
  <c r="C12" i="2"/>
  <c r="H11" i="2"/>
  <c r="G11" i="2"/>
  <c r="F11" i="2"/>
  <c r="E11" i="2"/>
  <c r="C11" i="2"/>
  <c r="E10" i="2"/>
  <c r="F10" i="2" s="1"/>
  <c r="G10" i="2" s="1"/>
  <c r="H10" i="2" s="1"/>
  <c r="C10" i="2"/>
  <c r="E9" i="2"/>
  <c r="F9" i="2" s="1"/>
  <c r="G9" i="2" s="1"/>
  <c r="H9" i="2" s="1"/>
  <c r="C9" i="2"/>
  <c r="E8" i="2"/>
  <c r="F8" i="2" s="1"/>
  <c r="G8" i="2" s="1"/>
  <c r="H8" i="2" s="1"/>
  <c r="C8" i="2"/>
  <c r="F7" i="2"/>
  <c r="G7" i="2" s="1"/>
  <c r="H7" i="2" s="1"/>
  <c r="C7" i="2"/>
  <c r="F6" i="2"/>
  <c r="G6" i="2" s="1"/>
  <c r="H6" i="2" s="1"/>
  <c r="C6" i="2"/>
  <c r="E5" i="2"/>
  <c r="F5" i="2" s="1"/>
  <c r="G5" i="2" s="1"/>
  <c r="H5" i="2" s="1"/>
  <c r="C5" i="2"/>
  <c r="E4" i="2"/>
  <c r="F4" i="2" s="1"/>
  <c r="G4" i="2" s="1"/>
  <c r="H4" i="2" s="1"/>
  <c r="C4" i="2"/>
  <c r="F3" i="2"/>
  <c r="G3" i="2" s="1"/>
  <c r="H3" i="2" s="1"/>
  <c r="C3" i="2"/>
  <c r="F16" i="1"/>
  <c r="E26" i="1"/>
  <c r="D26" i="1" s="1"/>
  <c r="C26" i="1" s="1"/>
  <c r="G26" i="1"/>
  <c r="H26" i="1" s="1"/>
  <c r="I26" i="1" s="1"/>
  <c r="J26" i="1" s="1"/>
  <c r="K26" i="1" s="1"/>
  <c r="L26" i="1" s="1"/>
  <c r="M26" i="1" s="1"/>
  <c r="G21" i="1"/>
  <c r="H21" i="1" s="1"/>
  <c r="I21" i="1" s="1"/>
  <c r="J21" i="1" s="1"/>
  <c r="K21" i="1" s="1"/>
  <c r="L21" i="1" s="1"/>
  <c r="M21" i="1" s="1"/>
  <c r="E21" i="1"/>
  <c r="D21" i="1" s="1"/>
  <c r="C21" i="1" s="1"/>
  <c r="E20" i="1"/>
  <c r="D20" i="1" s="1"/>
  <c r="C20" i="1" s="1"/>
  <c r="G20" i="1"/>
  <c r="H20" i="1" s="1"/>
  <c r="I20" i="1" s="1"/>
  <c r="J20" i="1" s="1"/>
  <c r="K20" i="1" s="1"/>
  <c r="L20" i="1" s="1"/>
  <c r="M20" i="1" s="1"/>
  <c r="G19" i="1"/>
  <c r="I19" i="1" s="1"/>
  <c r="J19" i="1" s="1"/>
  <c r="K19" i="1" s="1"/>
  <c r="L19" i="1" s="1"/>
  <c r="M19" i="1" s="1"/>
  <c r="E19" i="1"/>
  <c r="D19" i="1" s="1"/>
  <c r="C19" i="1" s="1"/>
  <c r="G14" i="1"/>
  <c r="H14" i="1" s="1"/>
  <c r="I14" i="1" s="1"/>
  <c r="J14" i="1" s="1"/>
  <c r="K14" i="1" s="1"/>
  <c r="L14" i="1" s="1"/>
  <c r="M14" i="1" s="1"/>
  <c r="E14" i="1"/>
  <c r="D14" i="1" s="1"/>
  <c r="C14" i="1" s="1"/>
  <c r="G25" i="1"/>
  <c r="H25" i="1" s="1"/>
  <c r="I25" i="1" s="1"/>
  <c r="J25" i="1" s="1"/>
  <c r="K25" i="1" s="1"/>
  <c r="L25" i="1" s="1"/>
  <c r="M25" i="1" s="1"/>
  <c r="E25" i="1"/>
  <c r="D25" i="1" s="1"/>
  <c r="C25" i="1" s="1"/>
  <c r="E24" i="1"/>
  <c r="D24" i="1" s="1"/>
  <c r="C24" i="1" s="1"/>
  <c r="G24" i="1"/>
  <c r="H24" i="1" s="1"/>
  <c r="I24" i="1" s="1"/>
  <c r="J24" i="1" s="1"/>
  <c r="K24" i="1" s="1"/>
  <c r="L24" i="1" s="1"/>
  <c r="M24" i="1" s="1"/>
  <c r="E23" i="1"/>
  <c r="D23" i="1" s="1"/>
  <c r="C23" i="1" s="1"/>
  <c r="G23" i="1"/>
  <c r="H23" i="1" s="1"/>
  <c r="I23" i="1" s="1"/>
  <c r="J23" i="1" s="1"/>
  <c r="K23" i="1" s="1"/>
  <c r="L23" i="1" s="1"/>
  <c r="M23" i="1" s="1"/>
  <c r="E22" i="1"/>
  <c r="D22" i="1" s="1"/>
  <c r="C22" i="1" s="1"/>
  <c r="G22" i="1"/>
  <c r="H22" i="1" s="1"/>
  <c r="I22" i="1" s="1"/>
  <c r="J22" i="1" s="1"/>
  <c r="K22" i="1" s="1"/>
  <c r="L22" i="1" s="1"/>
  <c r="M22" i="1" s="1"/>
  <c r="G18" i="1"/>
  <c r="H18" i="1" s="1"/>
  <c r="I18" i="1" s="1"/>
  <c r="J18" i="1" s="1"/>
  <c r="K18" i="1" s="1"/>
  <c r="L18" i="1" s="1"/>
  <c r="M18" i="1" s="1"/>
  <c r="E18" i="1"/>
  <c r="D18" i="1" s="1"/>
  <c r="C18" i="1" s="1"/>
  <c r="G17" i="1"/>
  <c r="H17" i="1" s="1"/>
  <c r="I17" i="1" s="1"/>
  <c r="J17" i="1" s="1"/>
  <c r="K17" i="1" s="1"/>
  <c r="L17" i="1" s="1"/>
  <c r="M17" i="1" s="1"/>
  <c r="E17" i="1"/>
  <c r="D17" i="1" s="1"/>
  <c r="C17" i="1" s="1"/>
  <c r="G16" i="1"/>
  <c r="H16" i="1" s="1"/>
  <c r="I16" i="1" s="1"/>
  <c r="J16" i="1" s="1"/>
  <c r="K16" i="1" s="1"/>
  <c r="L16" i="1" s="1"/>
  <c r="M16" i="1" s="1"/>
  <c r="D16" i="1"/>
  <c r="C16" i="1"/>
  <c r="G15" i="1"/>
  <c r="H15" i="1" s="1"/>
  <c r="I15" i="1" s="1"/>
  <c r="J15" i="1" s="1"/>
  <c r="K15" i="1" s="1"/>
  <c r="L15" i="1" s="1"/>
  <c r="M15" i="1" s="1"/>
  <c r="D15" i="1"/>
  <c r="C15" i="1" s="1"/>
  <c r="G4" i="1"/>
  <c r="H4" i="1" s="1"/>
  <c r="I4" i="1" s="1"/>
  <c r="J4" i="1" s="1"/>
  <c r="K4" i="1" s="1"/>
  <c r="L4" i="1" s="1"/>
  <c r="M4" i="1" s="1"/>
  <c r="E4" i="1"/>
  <c r="D4" i="1" s="1"/>
  <c r="C4" i="1" s="1"/>
  <c r="G5" i="1"/>
  <c r="H5" i="1" s="1"/>
  <c r="I5" i="1" s="1"/>
  <c r="J5" i="1" s="1"/>
  <c r="K5" i="1" s="1"/>
  <c r="L5" i="1" l="1"/>
  <c r="M5" i="1" s="1"/>
  <c r="G13" i="1"/>
  <c r="H13" i="1" s="1"/>
  <c r="E13" i="1"/>
  <c r="D13" i="1" s="1"/>
  <c r="C13" i="1" s="1"/>
  <c r="L12" i="1"/>
  <c r="K12" i="1"/>
  <c r="J12" i="1"/>
  <c r="I12" i="1"/>
  <c r="H12" i="1"/>
  <c r="G12" i="1"/>
  <c r="M12" i="1" s="1"/>
  <c r="E12" i="1"/>
  <c r="D12" i="1"/>
  <c r="C12" i="1"/>
  <c r="L11" i="1"/>
  <c r="K11" i="1"/>
  <c r="J11" i="1"/>
  <c r="I11" i="1"/>
  <c r="H11" i="1"/>
  <c r="G11" i="1"/>
  <c r="M11" i="1" s="1"/>
  <c r="E11" i="1"/>
  <c r="D11" i="1"/>
  <c r="C11" i="1"/>
  <c r="G10" i="1"/>
  <c r="H10" i="1" s="1"/>
  <c r="I10" i="1" s="1"/>
  <c r="J10" i="1" s="1"/>
  <c r="K10" i="1" s="1"/>
  <c r="E10" i="1"/>
  <c r="D10" i="1" s="1"/>
  <c r="C10" i="1" s="1"/>
  <c r="G9" i="1"/>
  <c r="H9" i="1" s="1"/>
  <c r="I9" i="1" s="1"/>
  <c r="J9" i="1" s="1"/>
  <c r="K9" i="1" s="1"/>
  <c r="E9" i="1"/>
  <c r="D9" i="1" s="1"/>
  <c r="C9" i="1" s="1"/>
  <c r="G8" i="1"/>
  <c r="H8" i="1" s="1"/>
  <c r="E8" i="1"/>
  <c r="D8" i="1" s="1"/>
  <c r="C8" i="1" s="1"/>
  <c r="H7" i="1"/>
  <c r="I7" i="1" s="1"/>
  <c r="J7" i="1" s="1"/>
  <c r="K7" i="1" s="1"/>
  <c r="E7" i="1"/>
  <c r="D7" i="1" s="1"/>
  <c r="C7" i="1" s="1"/>
  <c r="G6" i="1"/>
  <c r="H6" i="1" s="1"/>
  <c r="I6" i="1" s="1"/>
  <c r="J6" i="1" s="1"/>
  <c r="K6" i="1" s="1"/>
  <c r="E6" i="1"/>
  <c r="E5" i="1"/>
  <c r="D5" i="1" s="1"/>
  <c r="C5" i="1" s="1"/>
  <c r="G3" i="1"/>
  <c r="H3" i="1" s="1"/>
  <c r="I3" i="1" s="1"/>
  <c r="J3" i="1" s="1"/>
  <c r="K3" i="1" s="1"/>
  <c r="E3" i="1"/>
  <c r="D3" i="1" s="1"/>
  <c r="C3" i="1" s="1"/>
  <c r="D6" i="1" l="1"/>
  <c r="C6" i="1" s="1"/>
  <c r="L3" i="1"/>
  <c r="M3" i="1" s="1"/>
  <c r="L6" i="1"/>
  <c r="M6" i="1" s="1"/>
  <c r="L7" i="1"/>
  <c r="M7" i="1" s="1"/>
  <c r="L9" i="1"/>
  <c r="M9" i="1" s="1"/>
  <c r="L10" i="1"/>
  <c r="M10" i="1" s="1"/>
  <c r="I13" i="1"/>
  <c r="J13" i="1" s="1"/>
  <c r="K13" i="1" s="1"/>
  <c r="I8" i="1"/>
  <c r="J8" i="1" s="1"/>
  <c r="K8" i="1" s="1"/>
  <c r="L8" i="1" l="1"/>
  <c r="M8" i="1" s="1"/>
  <c r="L13" i="1"/>
  <c r="M13" i="1" s="1"/>
</calcChain>
</file>

<file path=xl/sharedStrings.xml><?xml version="1.0" encoding="utf-8"?>
<sst xmlns="http://schemas.openxmlformats.org/spreadsheetml/2006/main" count="87" uniqueCount="34">
  <si>
    <t>RIGID DENIM JORT - LONG LINE WITH DARTS</t>
  </si>
  <si>
    <t>MEASUREMENTS</t>
  </si>
  <si>
    <t>TOL.</t>
  </si>
  <si>
    <t>WAIST ALONG TOP EDGE</t>
  </si>
  <si>
    <t>TOP HIP 10CM DOWN FROM TOP OF WAISTBAND</t>
  </si>
  <si>
    <t>LOW HIP 20CM DOWN FROM TOP OF WAISTBAND</t>
  </si>
  <si>
    <t>FRONT RISE INCL WAISTBAND</t>
  </si>
  <si>
    <t>BACK RISE INCL WAISTBAND</t>
  </si>
  <si>
    <t xml:space="preserve">INSIDE LEG </t>
  </si>
  <si>
    <t>THIGH @ 2.5CM DOWN</t>
  </si>
  <si>
    <t xml:space="preserve">LEG OPENING SHORTS </t>
  </si>
  <si>
    <t>HEM DEPTH</t>
  </si>
  <si>
    <t>WAISTBAND DEPTH</t>
  </si>
  <si>
    <t>FLY LENGTH</t>
  </si>
  <si>
    <t>FLY WIDTH</t>
  </si>
  <si>
    <t>POCKET OPENING ALONG WAISTBAND</t>
  </si>
  <si>
    <t>POCKET DEPTH DOWN SIDE SEAM</t>
  </si>
  <si>
    <t>ZIP LENGTH</t>
  </si>
  <si>
    <t>BELT LOOP WIDTH</t>
  </si>
  <si>
    <t>BELT LOOP LENGTH</t>
  </si>
  <si>
    <t>YOKE DEPTH @ CB</t>
  </si>
  <si>
    <t>YOKE DEPTH @ SIDESEAM</t>
  </si>
  <si>
    <t>BACK POCKET WIDTH</t>
  </si>
  <si>
    <t>BACK POCKET DEPTH</t>
  </si>
  <si>
    <t xml:space="preserve">BACK POCKET POSITION FROM YOKE SEAM </t>
  </si>
  <si>
    <t>BACK POCKET POSITION FROM BACK RISE SEAM</t>
  </si>
  <si>
    <t xml:space="preserve">LEG DART POSITION UP FROM HEM </t>
  </si>
  <si>
    <t xml:space="preserve">                </t>
  </si>
  <si>
    <t>RIGID LONGLINE JORT (J)</t>
  </si>
  <si>
    <t>LEG OPENING</t>
  </si>
  <si>
    <t xml:space="preserve"> </t>
  </si>
  <si>
    <t xml:space="preserve">ENSURE LEG DART IS ADDED FOR DEVELOPMENT AND PRODUCTION </t>
  </si>
  <si>
    <t xml:space="preserve">RISE'S / WAIST - UPDATED 03 04 24 </t>
  </si>
  <si>
    <t>RIGID LONGLINE JORT (J) BMM85561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</si>
</sst>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4" borderId="13" xfId="0" applyFont="1" applyFill="1" applyBorder="1"/>
    <xf numFmtId="0" fontId="4" fillId="0" borderId="13" xfId="0" applyFont="1" applyBorder="1"/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6" borderId="13" xfId="0" applyFont="1" applyFill="1" applyBorder="1"/>
    <xf numFmtId="0" fontId="5" fillId="6" borderId="15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5" fillId="4" borderId="14" xfId="0" applyFont="1" applyFill="1" applyBorder="1"/>
    <xf numFmtId="0" fontId="4" fillId="6" borderId="14" xfId="0" applyFont="1" applyFill="1" applyBorder="1"/>
    <xf numFmtId="0" fontId="5" fillId="6" borderId="16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" fillId="0" borderId="4" xfId="0" applyFont="1" applyBorder="1"/>
    <xf numFmtId="0" fontId="0" fillId="7" borderId="2" xfId="0" applyFill="1" applyBorder="1"/>
    <xf numFmtId="0" fontId="0" fillId="7" borderId="8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4" xfId="0" applyFill="1" applyBorder="1"/>
    <xf numFmtId="0" fontId="6" fillId="7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15</xdr:col>
      <xdr:colOff>85725</xdr:colOff>
      <xdr:row>26</xdr:row>
      <xdr:rowOff>19050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673CD0AF-9FAB-47D7-B5F3-AF0E865B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5" y="190500"/>
          <a:ext cx="3743325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</xdr:colOff>
      <xdr:row>1</xdr:row>
      <xdr:rowOff>28575</xdr:rowOff>
    </xdr:from>
    <xdr:to>
      <xdr:col>20</xdr:col>
      <xdr:colOff>114300</xdr:colOff>
      <xdr:row>26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7EA95F-A9EF-E3AB-99C4-C014B17D1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2900" y="219075"/>
          <a:ext cx="374332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</xdr:colOff>
      <xdr:row>1</xdr:row>
      <xdr:rowOff>28575</xdr:rowOff>
    </xdr:from>
    <xdr:to>
      <xdr:col>25</xdr:col>
      <xdr:colOff>114300</xdr:colOff>
      <xdr:row>26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9F7A9-708E-4385-914D-9390FE75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0900" y="219075"/>
          <a:ext cx="3743325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26</xdr:row>
      <xdr:rowOff>85725</xdr:rowOff>
    </xdr:from>
    <xdr:to>
      <xdr:col>7</xdr:col>
      <xdr:colOff>543461</xdr:colOff>
      <xdr:row>57</xdr:row>
      <xdr:rowOff>77023</xdr:rowOff>
    </xdr:to>
    <xdr:pic>
      <xdr:nvPicPr>
        <xdr:cNvPr id="3" name="Picture 2" descr="A person wearing white shorts&#10;&#10;Description automatically generated">
          <a:extLst>
            <a:ext uri="{FF2B5EF4-FFF2-40B4-BE49-F238E27FC236}">
              <a16:creationId xmlns:a16="http://schemas.microsoft.com/office/drawing/2014/main" id="{AD4DE581-71D0-43E7-A7C0-A35A6578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1475" y="4829175"/>
          <a:ext cx="3839111" cy="5896798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26</xdr:row>
      <xdr:rowOff>180975</xdr:rowOff>
    </xdr:from>
    <xdr:to>
      <xdr:col>3</xdr:col>
      <xdr:colOff>400049</xdr:colOff>
      <xdr:row>28</xdr:row>
      <xdr:rowOff>85725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5A902BA-B0FF-4D6A-A721-5A6EF17E2892}"/>
            </a:ext>
          </a:extLst>
        </xdr:cNvPr>
        <xdr:cNvSpPr txBox="1">
          <a:spLocks noChangeArrowheads="1"/>
        </xdr:cNvSpPr>
      </xdr:nvSpPr>
      <xdr:spPr bwMode="auto">
        <a:xfrm>
          <a:off x="4324350" y="4924425"/>
          <a:ext cx="1114424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BMM85561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EC89-B698-4C0E-87F5-1721D8EE5845}">
  <sheetPr>
    <tabColor rgb="FFFFC000"/>
  </sheetPr>
  <dimension ref="A1:H36"/>
  <sheetViews>
    <sheetView workbookViewId="0">
      <selection activeCell="A26" sqref="A26"/>
    </sheetView>
  </sheetViews>
  <sheetFormatPr defaultRowHeight="15"/>
  <cols>
    <col min="1" max="1" width="57.28515625" customWidth="1"/>
    <col min="3" max="3" width="9.140625" customWidth="1"/>
    <col min="5" max="8" width="9.140625" customWidth="1"/>
  </cols>
  <sheetData>
    <row r="1" spans="1:8">
      <c r="A1" s="4" t="s">
        <v>0</v>
      </c>
    </row>
    <row r="2" spans="1:8" ht="14.45" customHeight="1">
      <c r="A2" s="1" t="s">
        <v>1</v>
      </c>
      <c r="B2" s="17" t="s">
        <v>2</v>
      </c>
      <c r="C2" s="8">
        <v>30</v>
      </c>
      <c r="D2" s="8">
        <v>32</v>
      </c>
      <c r="E2" s="8">
        <v>34</v>
      </c>
      <c r="F2" s="8">
        <v>36</v>
      </c>
      <c r="G2" s="8">
        <v>38</v>
      </c>
      <c r="H2" s="8">
        <v>40</v>
      </c>
    </row>
    <row r="3" spans="1:8">
      <c r="A3" s="2" t="s">
        <v>3</v>
      </c>
      <c r="B3" s="14">
        <v>1</v>
      </c>
      <c r="C3" s="18">
        <f t="shared" ref="C3:C5" si="0">D3-2.5</f>
        <v>41.5</v>
      </c>
      <c r="D3" s="18">
        <v>44</v>
      </c>
      <c r="E3" s="18">
        <v>45</v>
      </c>
      <c r="F3" s="18">
        <f t="shared" ref="F3:H5" si="1">E3+2.5</f>
        <v>47.5</v>
      </c>
      <c r="G3" s="18">
        <f t="shared" si="1"/>
        <v>50</v>
      </c>
      <c r="H3" s="18">
        <f t="shared" si="1"/>
        <v>52.5</v>
      </c>
    </row>
    <row r="4" spans="1:8" ht="14.45" customHeight="1">
      <c r="A4" s="2" t="s">
        <v>4</v>
      </c>
      <c r="B4" s="14">
        <v>1</v>
      </c>
      <c r="C4" s="6">
        <f t="shared" si="0"/>
        <v>50</v>
      </c>
      <c r="D4" s="6">
        <v>52.5</v>
      </c>
      <c r="E4" s="6">
        <f>D4+2.5</f>
        <v>55</v>
      </c>
      <c r="F4" s="6">
        <f t="shared" si="1"/>
        <v>57.5</v>
      </c>
      <c r="G4" s="6">
        <f t="shared" si="1"/>
        <v>60</v>
      </c>
      <c r="H4" s="6">
        <f t="shared" si="1"/>
        <v>62.5</v>
      </c>
    </row>
    <row r="5" spans="1:8" ht="14.45" customHeight="1">
      <c r="A5" s="2" t="s">
        <v>5</v>
      </c>
      <c r="B5" s="14">
        <v>1</v>
      </c>
      <c r="C5" s="6">
        <f t="shared" si="0"/>
        <v>55</v>
      </c>
      <c r="D5" s="6">
        <v>57.5</v>
      </c>
      <c r="E5" s="6">
        <f>D5+2.5</f>
        <v>60</v>
      </c>
      <c r="F5" s="6">
        <f t="shared" si="1"/>
        <v>62.5</v>
      </c>
      <c r="G5" s="6">
        <f t="shared" si="1"/>
        <v>65</v>
      </c>
      <c r="H5" s="6">
        <f t="shared" si="1"/>
        <v>67.5</v>
      </c>
    </row>
    <row r="6" spans="1:8" ht="14.45" customHeight="1">
      <c r="A6" s="2" t="s">
        <v>6</v>
      </c>
      <c r="B6" s="14">
        <v>1</v>
      </c>
      <c r="C6" s="6">
        <f t="shared" ref="C6:C7" si="2">D6-1</f>
        <v>35.5</v>
      </c>
      <c r="D6" s="6">
        <v>36.5</v>
      </c>
      <c r="E6" s="6">
        <v>38.5</v>
      </c>
      <c r="F6" s="6">
        <f t="shared" ref="F6" si="3">E6+1</f>
        <v>39.5</v>
      </c>
      <c r="G6" s="6">
        <f>F6+1.5</f>
        <v>41</v>
      </c>
      <c r="H6" s="6">
        <f>G6+1.5</f>
        <v>42.5</v>
      </c>
    </row>
    <row r="7" spans="1:8" ht="14.45" customHeight="1">
      <c r="A7" s="2" t="s">
        <v>7</v>
      </c>
      <c r="B7" s="14">
        <v>1</v>
      </c>
      <c r="C7" s="6">
        <f t="shared" si="2"/>
        <v>41</v>
      </c>
      <c r="D7" s="6">
        <v>42</v>
      </c>
      <c r="E7" s="6">
        <v>47.5</v>
      </c>
      <c r="F7" s="6">
        <f t="shared" ref="F7" si="4">E7+1.2</f>
        <v>48.7</v>
      </c>
      <c r="G7" s="6">
        <f>F7+1.8</f>
        <v>50.5</v>
      </c>
      <c r="H7" s="6">
        <f>G7+1.8</f>
        <v>52.3</v>
      </c>
    </row>
    <row r="8" spans="1:8" ht="14.45" customHeight="1">
      <c r="A8" s="2" t="s">
        <v>8</v>
      </c>
      <c r="B8" s="14">
        <v>1</v>
      </c>
      <c r="C8" s="6">
        <f>D8-0</f>
        <v>39.5</v>
      </c>
      <c r="D8" s="6">
        <v>39.5</v>
      </c>
      <c r="E8" s="6">
        <f>D8+0</f>
        <v>39.5</v>
      </c>
      <c r="F8" s="6">
        <f>E8+0</f>
        <v>39.5</v>
      </c>
      <c r="G8" s="6">
        <f>F8</f>
        <v>39.5</v>
      </c>
      <c r="H8" s="6">
        <f>G8</f>
        <v>39.5</v>
      </c>
    </row>
    <row r="9" spans="1:8" ht="14.45" customHeight="1">
      <c r="A9" s="2" t="s">
        <v>9</v>
      </c>
      <c r="B9" s="14">
        <v>1</v>
      </c>
      <c r="C9" s="6">
        <f>D9-1.2</f>
        <v>36.799999999999997</v>
      </c>
      <c r="D9" s="6">
        <v>38</v>
      </c>
      <c r="E9" s="6">
        <f>D9+1.5</f>
        <v>39.5</v>
      </c>
      <c r="F9" s="6">
        <f t="shared" ref="F9:H9" si="5">E9+1.5</f>
        <v>41</v>
      </c>
      <c r="G9" s="6">
        <f t="shared" si="5"/>
        <v>42.5</v>
      </c>
      <c r="H9" s="6">
        <f t="shared" si="5"/>
        <v>44</v>
      </c>
    </row>
    <row r="10" spans="1:8" ht="14.45" customHeight="1">
      <c r="A10" s="2" t="s">
        <v>10</v>
      </c>
      <c r="B10" s="14">
        <v>1</v>
      </c>
      <c r="C10" s="6">
        <f>D10-1</f>
        <v>33.5</v>
      </c>
      <c r="D10" s="6">
        <v>34.5</v>
      </c>
      <c r="E10" s="6">
        <f>D10+1</f>
        <v>35.5</v>
      </c>
      <c r="F10" s="6">
        <f t="shared" ref="F10:H10" si="6">E10+1</f>
        <v>36.5</v>
      </c>
      <c r="G10" s="6">
        <f t="shared" si="6"/>
        <v>37.5</v>
      </c>
      <c r="H10" s="6">
        <f t="shared" si="6"/>
        <v>38.5</v>
      </c>
    </row>
    <row r="11" spans="1:8" ht="14.45" customHeight="1">
      <c r="A11" s="2" t="s">
        <v>11</v>
      </c>
      <c r="B11" s="14">
        <v>0.5</v>
      </c>
      <c r="C11" s="6">
        <f t="shared" ref="C11:C12" si="7">D11</f>
        <v>2</v>
      </c>
      <c r="D11" s="6">
        <v>2</v>
      </c>
      <c r="E11" s="6">
        <f t="shared" ref="E11:E12" si="8">D11</f>
        <v>2</v>
      </c>
      <c r="F11" s="6">
        <f t="shared" ref="F11:F12" si="9">D11</f>
        <v>2</v>
      </c>
      <c r="G11" s="6">
        <f t="shared" ref="G11:G12" si="10">D11</f>
        <v>2</v>
      </c>
      <c r="H11" s="6">
        <f t="shared" ref="H11:H12" si="11">D11</f>
        <v>2</v>
      </c>
    </row>
    <row r="12" spans="1:8" ht="14.45" customHeight="1">
      <c r="A12" s="3" t="s">
        <v>12</v>
      </c>
      <c r="B12" s="14">
        <v>0.5</v>
      </c>
      <c r="C12" s="6">
        <f t="shared" si="7"/>
        <v>5</v>
      </c>
      <c r="D12" s="6">
        <v>5</v>
      </c>
      <c r="E12" s="6">
        <f t="shared" si="8"/>
        <v>5</v>
      </c>
      <c r="F12" s="6">
        <f t="shared" si="9"/>
        <v>5</v>
      </c>
      <c r="G12" s="6">
        <f t="shared" si="10"/>
        <v>5</v>
      </c>
      <c r="H12" s="6">
        <f t="shared" si="11"/>
        <v>5</v>
      </c>
    </row>
    <row r="13" spans="1:8" ht="14.45" customHeight="1">
      <c r="A13" s="3" t="s">
        <v>13</v>
      </c>
      <c r="B13" s="14">
        <v>0.5</v>
      </c>
      <c r="C13" s="6">
        <f>D13-0</f>
        <v>18</v>
      </c>
      <c r="D13" s="6">
        <v>18</v>
      </c>
      <c r="E13" s="6">
        <f>D13+0.5</f>
        <v>18.5</v>
      </c>
      <c r="F13" s="6">
        <f>E13+0</f>
        <v>18.5</v>
      </c>
      <c r="G13" s="6">
        <f>F13+0.5</f>
        <v>19</v>
      </c>
      <c r="H13" s="6">
        <f>G13+0</f>
        <v>19</v>
      </c>
    </row>
    <row r="14" spans="1:8" ht="14.45" customHeight="1">
      <c r="A14" s="13" t="s">
        <v>14</v>
      </c>
      <c r="B14" s="14">
        <v>0.5</v>
      </c>
      <c r="C14" s="6">
        <f>D14</f>
        <v>4</v>
      </c>
      <c r="D14" s="6">
        <v>4</v>
      </c>
      <c r="E14" s="6">
        <f>D14</f>
        <v>4</v>
      </c>
      <c r="F14" s="6">
        <f t="shared" ref="F14:H14" si="12">E14</f>
        <v>4</v>
      </c>
      <c r="G14" s="6">
        <f t="shared" si="12"/>
        <v>4</v>
      </c>
      <c r="H14" s="6">
        <f t="shared" si="12"/>
        <v>4</v>
      </c>
    </row>
    <row r="15" spans="1:8" ht="14.45" customHeight="1">
      <c r="A15" s="12" t="s">
        <v>15</v>
      </c>
      <c r="B15" s="14">
        <v>0.5</v>
      </c>
      <c r="C15" s="6">
        <v>12</v>
      </c>
      <c r="D15" s="6">
        <v>10</v>
      </c>
      <c r="E15" s="6">
        <f>D15+0.5</f>
        <v>10.5</v>
      </c>
      <c r="F15" s="6">
        <f>E15</f>
        <v>10.5</v>
      </c>
      <c r="G15" s="6">
        <f>F15+0.5</f>
        <v>11</v>
      </c>
      <c r="H15" s="6">
        <f>G15</f>
        <v>11</v>
      </c>
    </row>
    <row r="16" spans="1:8" ht="14.45" customHeight="1">
      <c r="A16" s="19" t="s">
        <v>16</v>
      </c>
      <c r="B16" s="20">
        <v>0.5</v>
      </c>
      <c r="C16" s="22">
        <v>6.5</v>
      </c>
      <c r="D16" s="22">
        <f>C16</f>
        <v>6.5</v>
      </c>
      <c r="E16" s="22">
        <f>D16+0.5</f>
        <v>7</v>
      </c>
      <c r="F16" s="22">
        <f>E16</f>
        <v>7</v>
      </c>
      <c r="G16" s="22">
        <f>F16+0.5</f>
        <v>7.5</v>
      </c>
      <c r="H16" s="22">
        <f>G16</f>
        <v>7.5</v>
      </c>
    </row>
    <row r="17" spans="1:8" ht="14.45" customHeight="1">
      <c r="A17" s="13" t="s">
        <v>17</v>
      </c>
      <c r="B17" s="14">
        <v>0.5</v>
      </c>
      <c r="C17" s="6">
        <f>D17</f>
        <v>17</v>
      </c>
      <c r="D17" s="7">
        <v>17</v>
      </c>
      <c r="E17" s="6">
        <f>D17+0.5</f>
        <v>17.5</v>
      </c>
      <c r="F17" s="6">
        <f>E17</f>
        <v>17.5</v>
      </c>
      <c r="G17" s="6">
        <f>F17+0.5</f>
        <v>18</v>
      </c>
      <c r="H17" s="6">
        <f>G17</f>
        <v>18</v>
      </c>
    </row>
    <row r="18" spans="1:8" ht="14.45" customHeight="1">
      <c r="A18" s="13" t="s">
        <v>18</v>
      </c>
      <c r="B18" s="14">
        <v>0</v>
      </c>
      <c r="C18" s="6">
        <f>D18</f>
        <v>1.5</v>
      </c>
      <c r="D18" s="6">
        <v>1.5</v>
      </c>
      <c r="E18" s="6">
        <f>D18</f>
        <v>1.5</v>
      </c>
      <c r="F18" s="6">
        <f t="shared" ref="F18:H19" si="13">E18</f>
        <v>1.5</v>
      </c>
      <c r="G18" s="6">
        <f t="shared" si="13"/>
        <v>1.5</v>
      </c>
      <c r="H18" s="6">
        <f t="shared" si="13"/>
        <v>1.5</v>
      </c>
    </row>
    <row r="19" spans="1:8" ht="14.45" customHeight="1">
      <c r="A19" s="13" t="s">
        <v>19</v>
      </c>
      <c r="B19" s="14">
        <v>0</v>
      </c>
      <c r="C19" s="6">
        <f>D19</f>
        <v>7</v>
      </c>
      <c r="D19" s="6">
        <v>7</v>
      </c>
      <c r="E19" s="6">
        <f>D19</f>
        <v>7</v>
      </c>
      <c r="F19" s="6">
        <f t="shared" si="13"/>
        <v>7</v>
      </c>
      <c r="G19" s="6">
        <f t="shared" si="13"/>
        <v>7</v>
      </c>
      <c r="H19" s="6">
        <f t="shared" si="13"/>
        <v>7</v>
      </c>
    </row>
    <row r="20" spans="1:8" ht="14.45" customHeight="1">
      <c r="A20" s="12" t="s">
        <v>20</v>
      </c>
      <c r="B20" s="14">
        <v>0.5</v>
      </c>
      <c r="C20" s="6">
        <f>D20</f>
        <v>8</v>
      </c>
      <c r="D20" s="6">
        <v>8</v>
      </c>
      <c r="E20" s="6">
        <f>D20</f>
        <v>8</v>
      </c>
      <c r="F20" s="6">
        <f>E20+0.5</f>
        <v>8.5</v>
      </c>
      <c r="G20" s="6">
        <f>F20</f>
        <v>8.5</v>
      </c>
      <c r="H20" s="6">
        <f>G20+0.5</f>
        <v>9</v>
      </c>
    </row>
    <row r="21" spans="1:8" ht="14.45" customHeight="1">
      <c r="A21" s="12" t="s">
        <v>21</v>
      </c>
      <c r="B21" s="14">
        <v>0.5</v>
      </c>
      <c r="C21" s="6">
        <f>D21</f>
        <v>5</v>
      </c>
      <c r="D21" s="6">
        <v>5</v>
      </c>
      <c r="E21" s="6">
        <f>D21</f>
        <v>5</v>
      </c>
      <c r="F21" s="6">
        <f>E21+0.5</f>
        <v>5.5</v>
      </c>
      <c r="G21" s="6">
        <f>F21</f>
        <v>5.5</v>
      </c>
      <c r="H21" s="6">
        <f>G21+0.5</f>
        <v>6</v>
      </c>
    </row>
    <row r="22" spans="1:8" ht="14.45" customHeight="1">
      <c r="A22" s="12" t="s">
        <v>22</v>
      </c>
      <c r="B22" s="14">
        <v>0.5</v>
      </c>
      <c r="C22" s="6">
        <f>D22-0.5</f>
        <v>16.5</v>
      </c>
      <c r="D22" s="6">
        <v>17</v>
      </c>
      <c r="E22" s="6">
        <f>D22+0.5</f>
        <v>17.5</v>
      </c>
      <c r="F22" s="6">
        <f>E22+0.5</f>
        <v>18</v>
      </c>
      <c r="G22" s="6">
        <f t="shared" ref="G22:H22" si="14">F22+0.5</f>
        <v>18.5</v>
      </c>
      <c r="H22" s="6">
        <f t="shared" si="14"/>
        <v>19</v>
      </c>
    </row>
    <row r="23" spans="1:8" ht="14.45" customHeight="1">
      <c r="A23" s="12" t="s">
        <v>23</v>
      </c>
      <c r="B23" s="14">
        <v>0.5</v>
      </c>
      <c r="C23" s="6">
        <f>D23-0.5</f>
        <v>17</v>
      </c>
      <c r="D23" s="6">
        <v>17.5</v>
      </c>
      <c r="E23" s="6">
        <f>D23+0.5</f>
        <v>18</v>
      </c>
      <c r="F23" s="6">
        <f t="shared" ref="F23:H23" si="15">E23+0.5</f>
        <v>18.5</v>
      </c>
      <c r="G23" s="6">
        <f t="shared" si="15"/>
        <v>19</v>
      </c>
      <c r="H23" s="6">
        <f t="shared" si="15"/>
        <v>19.5</v>
      </c>
    </row>
    <row r="24" spans="1:8" ht="14.45" customHeight="1">
      <c r="A24" s="12" t="s">
        <v>24</v>
      </c>
      <c r="B24" s="14">
        <v>0.5</v>
      </c>
      <c r="C24" s="6">
        <f>D24</f>
        <v>4.5</v>
      </c>
      <c r="D24" s="6">
        <v>4.5</v>
      </c>
      <c r="E24" s="6">
        <f>D24</f>
        <v>4.5</v>
      </c>
      <c r="F24" s="6">
        <f t="shared" ref="F24:H24" si="16">E24</f>
        <v>4.5</v>
      </c>
      <c r="G24" s="6">
        <f t="shared" si="16"/>
        <v>4.5</v>
      </c>
      <c r="H24" s="6">
        <f t="shared" si="16"/>
        <v>4.5</v>
      </c>
    </row>
    <row r="25" spans="1:8">
      <c r="A25" s="12" t="s">
        <v>25</v>
      </c>
      <c r="B25" s="14">
        <v>0.5</v>
      </c>
      <c r="C25" s="6">
        <f>D25</f>
        <v>5</v>
      </c>
      <c r="D25" s="6">
        <v>5</v>
      </c>
      <c r="E25" s="6">
        <f>D25+0.5</f>
        <v>5.5</v>
      </c>
      <c r="F25" s="6">
        <f>E25</f>
        <v>5.5</v>
      </c>
      <c r="G25" s="6">
        <f>F25+0.5</f>
        <v>6</v>
      </c>
      <c r="H25" s="6">
        <f>G25</f>
        <v>6</v>
      </c>
    </row>
    <row r="26" spans="1:8">
      <c r="A26" s="24" t="s">
        <v>26</v>
      </c>
      <c r="B26" s="15">
        <v>0.5</v>
      </c>
      <c r="C26" s="11">
        <f>D26</f>
        <v>19</v>
      </c>
      <c r="D26" s="11">
        <v>19</v>
      </c>
      <c r="E26" s="11">
        <f>D26</f>
        <v>19</v>
      </c>
      <c r="F26" s="11">
        <f>E26+1</f>
        <v>20</v>
      </c>
      <c r="G26" s="11">
        <f>F26</f>
        <v>20</v>
      </c>
      <c r="H26" s="11">
        <f>G26+1</f>
        <v>21</v>
      </c>
    </row>
    <row r="27" spans="1:8">
      <c r="A27" s="5"/>
    </row>
    <row r="28" spans="1:8">
      <c r="A28" s="5"/>
    </row>
    <row r="29" spans="1:8">
      <c r="A29" s="5" t="s">
        <v>27</v>
      </c>
    </row>
    <row r="30" spans="1:8">
      <c r="A30" s="5"/>
    </row>
    <row r="31" spans="1:8">
      <c r="A31" s="5"/>
    </row>
    <row r="32" spans="1:8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"/>
  <sheetViews>
    <sheetView tabSelected="1" workbookViewId="0">
      <selection activeCell="C34" sqref="C34"/>
    </sheetView>
  </sheetViews>
  <sheetFormatPr defaultRowHeight="15"/>
  <cols>
    <col min="1" max="1" width="57.28515625" customWidth="1"/>
    <col min="3" max="5" width="9.140625" customWidth="1"/>
    <col min="7" max="13" width="9.140625" customWidth="1"/>
  </cols>
  <sheetData>
    <row r="1" spans="1:13" ht="15.75" thickBot="1">
      <c r="A1" s="4" t="s">
        <v>28</v>
      </c>
    </row>
    <row r="2" spans="1:13" ht="14.45" customHeight="1" thickBot="1">
      <c r="A2" s="1" t="s">
        <v>1</v>
      </c>
      <c r="B2" s="17" t="s">
        <v>2</v>
      </c>
      <c r="C2" s="16">
        <v>26</v>
      </c>
      <c r="D2" s="8">
        <v>28</v>
      </c>
      <c r="E2" s="8">
        <v>30</v>
      </c>
      <c r="F2" s="8">
        <v>32</v>
      </c>
      <c r="G2" s="8">
        <v>34</v>
      </c>
      <c r="H2" s="8">
        <v>36</v>
      </c>
      <c r="I2" s="8">
        <v>38</v>
      </c>
      <c r="J2" s="8">
        <v>40</v>
      </c>
      <c r="K2" s="8">
        <v>42</v>
      </c>
      <c r="L2" s="8">
        <v>44</v>
      </c>
      <c r="M2" s="8">
        <v>46</v>
      </c>
    </row>
    <row r="3" spans="1:13">
      <c r="A3" s="31" t="s">
        <v>3</v>
      </c>
      <c r="B3" s="14">
        <v>1</v>
      </c>
      <c r="C3" s="32">
        <f t="shared" ref="C3:C5" si="0">D3-2.5</f>
        <v>35</v>
      </c>
      <c r="D3" s="33">
        <f>E3-2.5</f>
        <v>37.5</v>
      </c>
      <c r="E3" s="33">
        <f>F3-2.5</f>
        <v>40</v>
      </c>
      <c r="F3" s="34">
        <v>42.5</v>
      </c>
      <c r="G3" s="33">
        <f>F3+2.5</f>
        <v>45</v>
      </c>
      <c r="H3" s="33">
        <f>G3+2.5</f>
        <v>47.5</v>
      </c>
      <c r="I3" s="33">
        <f>H3+2.5</f>
        <v>50</v>
      </c>
      <c r="J3" s="33">
        <f t="shared" ref="J3:M5" si="1">I3+2.5</f>
        <v>52.5</v>
      </c>
      <c r="K3" s="33">
        <f t="shared" si="1"/>
        <v>55</v>
      </c>
      <c r="L3" s="33">
        <f>K3+2.5</f>
        <v>57.5</v>
      </c>
      <c r="M3" s="35">
        <f t="shared" si="1"/>
        <v>60</v>
      </c>
    </row>
    <row r="4" spans="1:13" ht="14.45" customHeight="1">
      <c r="A4" s="2" t="s">
        <v>4</v>
      </c>
      <c r="B4" s="14">
        <v>1</v>
      </c>
      <c r="C4" s="9">
        <f t="shared" si="0"/>
        <v>45</v>
      </c>
      <c r="D4" s="6">
        <f>E4-2.5</f>
        <v>47.5</v>
      </c>
      <c r="E4" s="6">
        <f>F4-2.5</f>
        <v>50</v>
      </c>
      <c r="F4" s="6">
        <v>52.5</v>
      </c>
      <c r="G4" s="6">
        <f>F4+2.5</f>
        <v>55</v>
      </c>
      <c r="H4" s="6">
        <f>G4+2.5</f>
        <v>57.5</v>
      </c>
      <c r="I4" s="6">
        <f>H4+2.5</f>
        <v>60</v>
      </c>
      <c r="J4" s="6">
        <f t="shared" si="1"/>
        <v>62.5</v>
      </c>
      <c r="K4" s="6">
        <f t="shared" si="1"/>
        <v>65</v>
      </c>
      <c r="L4" s="6">
        <f t="shared" si="1"/>
        <v>67.5</v>
      </c>
      <c r="M4" s="10">
        <f t="shared" si="1"/>
        <v>70</v>
      </c>
    </row>
    <row r="5" spans="1:13" ht="14.45" customHeight="1">
      <c r="A5" s="2" t="s">
        <v>5</v>
      </c>
      <c r="B5" s="14">
        <v>1</v>
      </c>
      <c r="C5" s="9">
        <f t="shared" si="0"/>
        <v>48.5</v>
      </c>
      <c r="D5" s="6">
        <f>E5-2.5</f>
        <v>51</v>
      </c>
      <c r="E5" s="6">
        <f>F5-2.5</f>
        <v>53.5</v>
      </c>
      <c r="F5" s="6">
        <v>56</v>
      </c>
      <c r="G5" s="6">
        <f>F5+2.5</f>
        <v>58.5</v>
      </c>
      <c r="H5" s="6">
        <f>G5+2.5</f>
        <v>61</v>
      </c>
      <c r="I5" s="6">
        <f>H5+2.5</f>
        <v>63.5</v>
      </c>
      <c r="J5" s="6">
        <f t="shared" si="1"/>
        <v>66</v>
      </c>
      <c r="K5" s="6">
        <f t="shared" si="1"/>
        <v>68.5</v>
      </c>
      <c r="L5" s="6">
        <f>K5+2.5</f>
        <v>71</v>
      </c>
      <c r="M5" s="10">
        <f t="shared" si="1"/>
        <v>73.5</v>
      </c>
    </row>
    <row r="6" spans="1:13" ht="14.45" customHeight="1">
      <c r="A6" s="31" t="s">
        <v>6</v>
      </c>
      <c r="B6" s="14">
        <v>1</v>
      </c>
      <c r="C6" s="32">
        <f t="shared" ref="C6:C7" si="2">D6-1</f>
        <v>29</v>
      </c>
      <c r="D6" s="33">
        <f>E6-1</f>
        <v>30</v>
      </c>
      <c r="E6" s="33">
        <f>F6-1</f>
        <v>31</v>
      </c>
      <c r="F6" s="34">
        <v>32</v>
      </c>
      <c r="G6" s="33">
        <f>F6+1</f>
        <v>33</v>
      </c>
      <c r="H6" s="33">
        <f>G6+1</f>
        <v>34</v>
      </c>
      <c r="I6" s="33">
        <f>H6+1.5</f>
        <v>35.5</v>
      </c>
      <c r="J6" s="33">
        <f>I6+1.5</f>
        <v>37</v>
      </c>
      <c r="K6" s="33">
        <f>J6+1.5</f>
        <v>38.5</v>
      </c>
      <c r="L6" s="33">
        <f>K6+1.5</f>
        <v>40</v>
      </c>
      <c r="M6" s="35">
        <f>L6+1.5</f>
        <v>41.5</v>
      </c>
    </row>
    <row r="7" spans="1:13" ht="14.45" customHeight="1">
      <c r="A7" s="31" t="s">
        <v>7</v>
      </c>
      <c r="B7" s="14">
        <v>1</v>
      </c>
      <c r="C7" s="32">
        <f t="shared" si="2"/>
        <v>37</v>
      </c>
      <c r="D7" s="33">
        <f>E7-1</f>
        <v>38</v>
      </c>
      <c r="E7" s="33">
        <f>F7-1</f>
        <v>39</v>
      </c>
      <c r="F7" s="34">
        <v>40</v>
      </c>
      <c r="G7" s="33">
        <f>F7+1</f>
        <v>41</v>
      </c>
      <c r="H7" s="33">
        <f>G7+1.2</f>
        <v>42.2</v>
      </c>
      <c r="I7" s="33">
        <f>H7+1.8</f>
        <v>44</v>
      </c>
      <c r="J7" s="33">
        <f>I7+1.8</f>
        <v>45.8</v>
      </c>
      <c r="K7" s="33">
        <f>J7+1.8</f>
        <v>47.599999999999994</v>
      </c>
      <c r="L7" s="33">
        <f>K7+1.8</f>
        <v>49.399999999999991</v>
      </c>
      <c r="M7" s="35">
        <f>L7+1.8</f>
        <v>51.199999999999989</v>
      </c>
    </row>
    <row r="8" spans="1:13" ht="14.45" customHeight="1">
      <c r="A8" s="2" t="s">
        <v>8</v>
      </c>
      <c r="B8" s="14">
        <v>1</v>
      </c>
      <c r="C8" s="9">
        <f t="shared" ref="C8" si="3">D8-0</f>
        <v>39.5</v>
      </c>
      <c r="D8" s="6">
        <f>E8-0</f>
        <v>39.5</v>
      </c>
      <c r="E8" s="6">
        <f>F8-0</f>
        <v>39.5</v>
      </c>
      <c r="F8" s="6">
        <v>39.5</v>
      </c>
      <c r="G8" s="6">
        <f>F8+0</f>
        <v>39.5</v>
      </c>
      <c r="H8" s="6">
        <f>G8+0</f>
        <v>39.5</v>
      </c>
      <c r="I8" s="6">
        <f>H8</f>
        <v>39.5</v>
      </c>
      <c r="J8" s="6">
        <f>I8</f>
        <v>39.5</v>
      </c>
      <c r="K8" s="6">
        <f t="shared" ref="K8:M8" si="4">J8+0</f>
        <v>39.5</v>
      </c>
      <c r="L8" s="6">
        <f>K8+0</f>
        <v>39.5</v>
      </c>
      <c r="M8" s="10">
        <f t="shared" si="4"/>
        <v>39.5</v>
      </c>
    </row>
    <row r="9" spans="1:13" ht="14.45" customHeight="1">
      <c r="A9" s="2" t="s">
        <v>9</v>
      </c>
      <c r="B9" s="14">
        <v>1</v>
      </c>
      <c r="C9" s="9">
        <f t="shared" ref="C9" si="5">D9-1.2</f>
        <v>34.399999999999991</v>
      </c>
      <c r="D9" s="6">
        <f>E9-1.2</f>
        <v>35.599999999999994</v>
      </c>
      <c r="E9" s="6">
        <f>F9-1.2</f>
        <v>36.799999999999997</v>
      </c>
      <c r="F9" s="6">
        <v>38</v>
      </c>
      <c r="G9" s="6">
        <f>F9+1.5</f>
        <v>39.5</v>
      </c>
      <c r="H9" s="6">
        <f>G9+1.5</f>
        <v>41</v>
      </c>
      <c r="I9" s="6">
        <f>H9+1.5</f>
        <v>42.5</v>
      </c>
      <c r="J9" s="6">
        <f t="shared" ref="J9:M9" si="6">I9+1.5</f>
        <v>44</v>
      </c>
      <c r="K9" s="6">
        <f t="shared" si="6"/>
        <v>45.5</v>
      </c>
      <c r="L9" s="6">
        <f>K9+1.5</f>
        <v>47</v>
      </c>
      <c r="M9" s="10">
        <f t="shared" si="6"/>
        <v>48.5</v>
      </c>
    </row>
    <row r="10" spans="1:13" ht="14.45" customHeight="1">
      <c r="A10" s="2" t="s">
        <v>29</v>
      </c>
      <c r="B10" s="14">
        <v>1</v>
      </c>
      <c r="C10" s="9">
        <f t="shared" ref="C10" si="7">D10-1</f>
        <v>31.5</v>
      </c>
      <c r="D10" s="6">
        <f>E10-1</f>
        <v>32.5</v>
      </c>
      <c r="E10" s="6">
        <f>F10-1</f>
        <v>33.5</v>
      </c>
      <c r="F10" s="6">
        <v>34.5</v>
      </c>
      <c r="G10" s="6">
        <f>F10+1</f>
        <v>35.5</v>
      </c>
      <c r="H10" s="6">
        <f>G10+1</f>
        <v>36.5</v>
      </c>
      <c r="I10" s="6">
        <f>H10+1</f>
        <v>37.5</v>
      </c>
      <c r="J10" s="6">
        <f t="shared" ref="J10:M10" si="8">I10+1</f>
        <v>38.5</v>
      </c>
      <c r="K10" s="6">
        <f t="shared" si="8"/>
        <v>39.5</v>
      </c>
      <c r="L10" s="6">
        <f>K10+1</f>
        <v>40.5</v>
      </c>
      <c r="M10" s="10">
        <f t="shared" si="8"/>
        <v>41.5</v>
      </c>
    </row>
    <row r="11" spans="1:13" ht="14.45" customHeight="1">
      <c r="A11" s="2" t="s">
        <v>11</v>
      </c>
      <c r="B11" s="14">
        <v>0.5</v>
      </c>
      <c r="C11" s="9">
        <f t="shared" ref="C11:C12" si="9">F11</f>
        <v>2</v>
      </c>
      <c r="D11" s="6">
        <f t="shared" ref="D11:D12" si="10">F11</f>
        <v>2</v>
      </c>
      <c r="E11" s="6">
        <f t="shared" ref="E11:E12" si="11">F11</f>
        <v>2</v>
      </c>
      <c r="F11" s="6">
        <v>2</v>
      </c>
      <c r="G11" s="6">
        <f>F11</f>
        <v>2</v>
      </c>
      <c r="H11" s="6">
        <f>F11</f>
        <v>2</v>
      </c>
      <c r="I11" s="6">
        <f>F11</f>
        <v>2</v>
      </c>
      <c r="J11" s="6">
        <f>F11</f>
        <v>2</v>
      </c>
      <c r="K11" s="6">
        <f>F11</f>
        <v>2</v>
      </c>
      <c r="L11" s="6">
        <f>F11</f>
        <v>2</v>
      </c>
      <c r="M11" s="10">
        <f>G11</f>
        <v>2</v>
      </c>
    </row>
    <row r="12" spans="1:13" ht="14.45" customHeight="1">
      <c r="A12" s="3" t="s">
        <v>12</v>
      </c>
      <c r="B12" s="14">
        <v>0.5</v>
      </c>
      <c r="C12" s="9">
        <f t="shared" si="9"/>
        <v>5</v>
      </c>
      <c r="D12" s="6">
        <f t="shared" si="10"/>
        <v>5</v>
      </c>
      <c r="E12" s="6">
        <f t="shared" si="11"/>
        <v>5</v>
      </c>
      <c r="F12" s="6">
        <v>5</v>
      </c>
      <c r="G12" s="6">
        <f>F12</f>
        <v>5</v>
      </c>
      <c r="H12" s="6">
        <f>F12</f>
        <v>5</v>
      </c>
      <c r="I12" s="6">
        <f>F12</f>
        <v>5</v>
      </c>
      <c r="J12" s="6">
        <f>F12</f>
        <v>5</v>
      </c>
      <c r="K12" s="6">
        <f>F12</f>
        <v>5</v>
      </c>
      <c r="L12" s="6">
        <f>F12</f>
        <v>5</v>
      </c>
      <c r="M12" s="10">
        <f>G12</f>
        <v>5</v>
      </c>
    </row>
    <row r="13" spans="1:13" ht="14.45" customHeight="1">
      <c r="A13" s="3" t="s">
        <v>13</v>
      </c>
      <c r="B13" s="14">
        <v>0.5</v>
      </c>
      <c r="C13" s="9">
        <f>D13-0</f>
        <v>17.5</v>
      </c>
      <c r="D13" s="6">
        <f>E13-0.5</f>
        <v>17.5</v>
      </c>
      <c r="E13" s="6">
        <f>F13-0</f>
        <v>18</v>
      </c>
      <c r="F13" s="6">
        <v>18</v>
      </c>
      <c r="G13" s="6">
        <f>F13+0.5</f>
        <v>18.5</v>
      </c>
      <c r="H13" s="6">
        <f>G13+0</f>
        <v>18.5</v>
      </c>
      <c r="I13" s="6">
        <f>H13+0.5</f>
        <v>19</v>
      </c>
      <c r="J13" s="6">
        <f>I13+0</f>
        <v>19</v>
      </c>
      <c r="K13" s="6">
        <f>J13+1</f>
        <v>20</v>
      </c>
      <c r="L13" s="6">
        <f>K13+0</f>
        <v>20</v>
      </c>
      <c r="M13" s="10">
        <f>L13+0</f>
        <v>20</v>
      </c>
    </row>
    <row r="14" spans="1:13" ht="14.45" customHeight="1">
      <c r="A14" s="13" t="s">
        <v>14</v>
      </c>
      <c r="B14" s="14">
        <v>0.5</v>
      </c>
      <c r="C14" s="9">
        <f t="shared" ref="C14" si="12">D14</f>
        <v>4</v>
      </c>
      <c r="D14" s="6">
        <f>E14</f>
        <v>4</v>
      </c>
      <c r="E14" s="6">
        <f>F14</f>
        <v>4</v>
      </c>
      <c r="F14" s="6">
        <v>4</v>
      </c>
      <c r="G14" s="6">
        <f>F14</f>
        <v>4</v>
      </c>
      <c r="H14" s="6">
        <f t="shared" ref="H14:H19" si="13">G14</f>
        <v>4</v>
      </c>
      <c r="I14" s="6">
        <f>H14</f>
        <v>4</v>
      </c>
      <c r="J14" s="6">
        <f t="shared" ref="J14:M14" si="14">I14</f>
        <v>4</v>
      </c>
      <c r="K14" s="6">
        <f t="shared" si="14"/>
        <v>4</v>
      </c>
      <c r="L14" s="6">
        <f t="shared" si="14"/>
        <v>4</v>
      </c>
      <c r="M14" s="10">
        <f t="shared" si="14"/>
        <v>4</v>
      </c>
    </row>
    <row r="15" spans="1:13" ht="14.45" customHeight="1">
      <c r="A15" s="12" t="s">
        <v>15</v>
      </c>
      <c r="B15" s="14">
        <v>0.5</v>
      </c>
      <c r="C15" s="9">
        <f>D15</f>
        <v>11.5</v>
      </c>
      <c r="D15" s="6">
        <f>E15-0.5</f>
        <v>11.5</v>
      </c>
      <c r="E15" s="6">
        <v>12</v>
      </c>
      <c r="F15" s="6">
        <v>10</v>
      </c>
      <c r="G15" s="6">
        <f>F15+0.5</f>
        <v>10.5</v>
      </c>
      <c r="H15" s="6">
        <f t="shared" si="13"/>
        <v>10.5</v>
      </c>
      <c r="I15" s="6">
        <f>H15+0.5</f>
        <v>11</v>
      </c>
      <c r="J15" s="6">
        <f>I15</f>
        <v>11</v>
      </c>
      <c r="K15" s="6">
        <f t="shared" ref="K15:K16" si="15">J15+0.5</f>
        <v>11.5</v>
      </c>
      <c r="L15" s="6">
        <f>K15</f>
        <v>11.5</v>
      </c>
      <c r="M15" s="10">
        <f>L15</f>
        <v>11.5</v>
      </c>
    </row>
    <row r="16" spans="1:13" ht="14.45" customHeight="1">
      <c r="A16" s="19" t="s">
        <v>16</v>
      </c>
      <c r="B16" s="20">
        <v>0.5</v>
      </c>
      <c r="C16" s="21">
        <f>D16</f>
        <v>6</v>
      </c>
      <c r="D16" s="22">
        <f>E16-0.5</f>
        <v>6</v>
      </c>
      <c r="E16" s="22">
        <v>6.5</v>
      </c>
      <c r="F16" s="22">
        <f>E16</f>
        <v>6.5</v>
      </c>
      <c r="G16" s="22">
        <f>F16+0.5</f>
        <v>7</v>
      </c>
      <c r="H16" s="22">
        <f t="shared" si="13"/>
        <v>7</v>
      </c>
      <c r="I16" s="22">
        <f>H16+0.5</f>
        <v>7.5</v>
      </c>
      <c r="J16" s="22">
        <f>I16</f>
        <v>7.5</v>
      </c>
      <c r="K16" s="22">
        <f t="shared" si="15"/>
        <v>8</v>
      </c>
      <c r="L16" s="22">
        <f>K16</f>
        <v>8</v>
      </c>
      <c r="M16" s="23">
        <f>L16</f>
        <v>8</v>
      </c>
    </row>
    <row r="17" spans="1:13" ht="14.45" customHeight="1">
      <c r="A17" s="13" t="s">
        <v>17</v>
      </c>
      <c r="B17" s="14">
        <v>0.5</v>
      </c>
      <c r="C17" s="9">
        <f>D17-0.5</f>
        <v>16</v>
      </c>
      <c r="D17" s="6">
        <f>E17-0.5</f>
        <v>16.5</v>
      </c>
      <c r="E17" s="6">
        <f>F17</f>
        <v>17</v>
      </c>
      <c r="F17" s="7">
        <v>17</v>
      </c>
      <c r="G17" s="6">
        <f>F17+0.5</f>
        <v>17.5</v>
      </c>
      <c r="H17" s="6">
        <f t="shared" si="13"/>
        <v>17.5</v>
      </c>
      <c r="I17" s="6">
        <f>H17+0.5</f>
        <v>18</v>
      </c>
      <c r="J17" s="6">
        <f>I17</f>
        <v>18</v>
      </c>
      <c r="K17" s="6">
        <f>J17+0.5</f>
        <v>18.5</v>
      </c>
      <c r="L17" s="6">
        <f t="shared" ref="L17:M17" si="16">K17+0.5</f>
        <v>19</v>
      </c>
      <c r="M17" s="10">
        <f t="shared" si="16"/>
        <v>19.5</v>
      </c>
    </row>
    <row r="18" spans="1:13" ht="14.45" customHeight="1">
      <c r="A18" s="13" t="s">
        <v>18</v>
      </c>
      <c r="B18" s="14">
        <v>0</v>
      </c>
      <c r="C18" s="9">
        <f t="shared" ref="C18" si="17">D18</f>
        <v>1.5</v>
      </c>
      <c r="D18" s="6">
        <f>E18</f>
        <v>1.5</v>
      </c>
      <c r="E18" s="6">
        <f>F18</f>
        <v>1.5</v>
      </c>
      <c r="F18" s="6">
        <v>1.5</v>
      </c>
      <c r="G18" s="6">
        <f>F18</f>
        <v>1.5</v>
      </c>
      <c r="H18" s="6">
        <f t="shared" si="13"/>
        <v>1.5</v>
      </c>
      <c r="I18" s="6">
        <f>H18</f>
        <v>1.5</v>
      </c>
      <c r="J18" s="6">
        <f t="shared" ref="J18:M18" si="18">I18</f>
        <v>1.5</v>
      </c>
      <c r="K18" s="6">
        <f t="shared" si="18"/>
        <v>1.5</v>
      </c>
      <c r="L18" s="6">
        <f t="shared" si="18"/>
        <v>1.5</v>
      </c>
      <c r="M18" s="10">
        <f t="shared" si="18"/>
        <v>1.5</v>
      </c>
    </row>
    <row r="19" spans="1:13" ht="14.45" customHeight="1">
      <c r="A19" s="13" t="s">
        <v>19</v>
      </c>
      <c r="B19" s="14">
        <v>0</v>
      </c>
      <c r="C19" s="9">
        <f t="shared" ref="C19" si="19">D19</f>
        <v>7</v>
      </c>
      <c r="D19" s="6">
        <f>E19</f>
        <v>7</v>
      </c>
      <c r="E19" s="6">
        <f>F19</f>
        <v>7</v>
      </c>
      <c r="F19" s="6">
        <v>7</v>
      </c>
      <c r="G19" s="6">
        <f>F19</f>
        <v>7</v>
      </c>
      <c r="H19" s="6" t="s">
        <v>30</v>
      </c>
      <c r="I19" s="6" t="str">
        <f>H19</f>
        <v xml:space="preserve"> </v>
      </c>
      <c r="J19" s="6" t="str">
        <f t="shared" ref="J19:M19" si="20">I19</f>
        <v xml:space="preserve"> </v>
      </c>
      <c r="K19" s="6" t="str">
        <f t="shared" si="20"/>
        <v xml:space="preserve"> </v>
      </c>
      <c r="L19" s="6" t="str">
        <f t="shared" si="20"/>
        <v xml:space="preserve"> </v>
      </c>
      <c r="M19" s="10" t="str">
        <f t="shared" si="20"/>
        <v xml:space="preserve"> </v>
      </c>
    </row>
    <row r="20" spans="1:13" ht="14.45" customHeight="1">
      <c r="A20" s="12" t="s">
        <v>20</v>
      </c>
      <c r="B20" s="14">
        <v>0.5</v>
      </c>
      <c r="C20" s="9">
        <f>D20</f>
        <v>7.5</v>
      </c>
      <c r="D20" s="6">
        <f>E20-0.5</f>
        <v>7.5</v>
      </c>
      <c r="E20" s="6">
        <f>F20</f>
        <v>8</v>
      </c>
      <c r="F20" s="6">
        <v>8</v>
      </c>
      <c r="G20" s="6">
        <f>F20</f>
        <v>8</v>
      </c>
      <c r="H20" s="6">
        <f>G20+0.5</f>
        <v>8.5</v>
      </c>
      <c r="I20" s="6">
        <f>H20</f>
        <v>8.5</v>
      </c>
      <c r="J20" s="6">
        <f>I20+0.5</f>
        <v>9</v>
      </c>
      <c r="K20" s="6">
        <f>J20</f>
        <v>9</v>
      </c>
      <c r="L20" s="6">
        <f>K20+0.5</f>
        <v>9.5</v>
      </c>
      <c r="M20" s="10">
        <f>L20</f>
        <v>9.5</v>
      </c>
    </row>
    <row r="21" spans="1:13" ht="14.45" customHeight="1">
      <c r="A21" s="12" t="s">
        <v>21</v>
      </c>
      <c r="B21" s="14">
        <v>0.5</v>
      </c>
      <c r="C21" s="9">
        <f>D21</f>
        <v>4.5</v>
      </c>
      <c r="D21" s="6">
        <f>E21-0.5</f>
        <v>4.5</v>
      </c>
      <c r="E21" s="6">
        <f>F21</f>
        <v>5</v>
      </c>
      <c r="F21" s="6">
        <v>5</v>
      </c>
      <c r="G21" s="6">
        <f>F21</f>
        <v>5</v>
      </c>
      <c r="H21" s="6">
        <f>G21+0.5</f>
        <v>5.5</v>
      </c>
      <c r="I21" s="6">
        <f>H21</f>
        <v>5.5</v>
      </c>
      <c r="J21" s="6">
        <f>I21+0.5</f>
        <v>6</v>
      </c>
      <c r="K21" s="6">
        <f>J21</f>
        <v>6</v>
      </c>
      <c r="L21" s="6">
        <f>K21+0.5</f>
        <v>6.5</v>
      </c>
      <c r="M21" s="10">
        <f>L21</f>
        <v>6.5</v>
      </c>
    </row>
    <row r="22" spans="1:13" ht="14.45" customHeight="1">
      <c r="A22" s="12" t="s">
        <v>22</v>
      </c>
      <c r="B22" s="14">
        <v>0.5</v>
      </c>
      <c r="C22" s="9">
        <f t="shared" ref="C22" si="21">D22-0.5</f>
        <v>15.5</v>
      </c>
      <c r="D22" s="6">
        <f>E22-0.5</f>
        <v>16</v>
      </c>
      <c r="E22" s="6">
        <f>F22-0.5</f>
        <v>16.5</v>
      </c>
      <c r="F22" s="6">
        <v>17</v>
      </c>
      <c r="G22" s="6">
        <f>F22+0.5</f>
        <v>17.5</v>
      </c>
      <c r="H22" s="6">
        <f>G22+0.5</f>
        <v>18</v>
      </c>
      <c r="I22" s="6">
        <f>H22+0.5</f>
        <v>18.5</v>
      </c>
      <c r="J22" s="6">
        <f t="shared" ref="J22:M22" si="22">I22+0.5</f>
        <v>19</v>
      </c>
      <c r="K22" s="6">
        <f t="shared" si="22"/>
        <v>19.5</v>
      </c>
      <c r="L22" s="6">
        <f t="shared" si="22"/>
        <v>20</v>
      </c>
      <c r="M22" s="10">
        <f t="shared" si="22"/>
        <v>20.5</v>
      </c>
    </row>
    <row r="23" spans="1:13" ht="14.45" customHeight="1">
      <c r="A23" s="12" t="s">
        <v>23</v>
      </c>
      <c r="B23" s="14">
        <v>0.5</v>
      </c>
      <c r="C23" s="9">
        <f t="shared" ref="C23" si="23">D23-0.5</f>
        <v>16</v>
      </c>
      <c r="D23" s="6">
        <f>E23-0.5</f>
        <v>16.5</v>
      </c>
      <c r="E23" s="6">
        <f>F23-0.5</f>
        <v>17</v>
      </c>
      <c r="F23" s="6">
        <v>17.5</v>
      </c>
      <c r="G23" s="6">
        <f>F23+0.5</f>
        <v>18</v>
      </c>
      <c r="H23" s="6">
        <f>G23+0.5</f>
        <v>18.5</v>
      </c>
      <c r="I23" s="6">
        <f>H23+0.5</f>
        <v>19</v>
      </c>
      <c r="J23" s="6">
        <f t="shared" ref="J23:M23" si="24">I23+0.5</f>
        <v>19.5</v>
      </c>
      <c r="K23" s="6">
        <f t="shared" si="24"/>
        <v>20</v>
      </c>
      <c r="L23" s="6">
        <f t="shared" si="24"/>
        <v>20.5</v>
      </c>
      <c r="M23" s="10">
        <f t="shared" si="24"/>
        <v>21</v>
      </c>
    </row>
    <row r="24" spans="1:13" ht="14.45" customHeight="1">
      <c r="A24" s="12" t="s">
        <v>24</v>
      </c>
      <c r="B24" s="14">
        <v>0.5</v>
      </c>
      <c r="C24" s="9">
        <f t="shared" ref="C24" si="25">D24</f>
        <v>4.5</v>
      </c>
      <c r="D24" s="6">
        <f>E24</f>
        <v>4.5</v>
      </c>
      <c r="E24" s="6">
        <f>F24</f>
        <v>4.5</v>
      </c>
      <c r="F24" s="6">
        <v>4.5</v>
      </c>
      <c r="G24" s="6">
        <f>F24</f>
        <v>4.5</v>
      </c>
      <c r="H24" s="6">
        <f>G24</f>
        <v>4.5</v>
      </c>
      <c r="I24" s="6">
        <f>H24</f>
        <v>4.5</v>
      </c>
      <c r="J24" s="6">
        <f t="shared" ref="J24:M24" si="26">I24</f>
        <v>4.5</v>
      </c>
      <c r="K24" s="6">
        <f t="shared" si="26"/>
        <v>4.5</v>
      </c>
      <c r="L24" s="6">
        <f t="shared" si="26"/>
        <v>4.5</v>
      </c>
      <c r="M24" s="10">
        <f t="shared" si="26"/>
        <v>4.5</v>
      </c>
    </row>
    <row r="25" spans="1:13">
      <c r="A25" s="12" t="s">
        <v>25</v>
      </c>
      <c r="B25" s="14">
        <v>0.5</v>
      </c>
      <c r="C25" s="9">
        <f>D25</f>
        <v>4.5</v>
      </c>
      <c r="D25" s="6">
        <f>E25-0.5</f>
        <v>4.5</v>
      </c>
      <c r="E25" s="6">
        <f>F25</f>
        <v>5</v>
      </c>
      <c r="F25" s="6">
        <v>5</v>
      </c>
      <c r="G25" s="6">
        <f>F25+0.5</f>
        <v>5.5</v>
      </c>
      <c r="H25" s="6">
        <f>G25</f>
        <v>5.5</v>
      </c>
      <c r="I25" s="6">
        <f>H25+0.5</f>
        <v>6</v>
      </c>
      <c r="J25" s="6">
        <f>I25</f>
        <v>6</v>
      </c>
      <c r="K25" s="6">
        <f>J25+0.5</f>
        <v>6.5</v>
      </c>
      <c r="L25" s="6">
        <f>K25</f>
        <v>6.5</v>
      </c>
      <c r="M25" s="10">
        <f>L25+0.5</f>
        <v>7</v>
      </c>
    </row>
    <row r="26" spans="1:13" ht="15.75" thickBot="1">
      <c r="A26" s="25" t="s">
        <v>26</v>
      </c>
      <c r="B26" s="26">
        <v>0.5</v>
      </c>
      <c r="C26" s="27">
        <f>D26</f>
        <v>18</v>
      </c>
      <c r="D26" s="28">
        <f>E26-1</f>
        <v>18</v>
      </c>
      <c r="E26" s="28">
        <f>F26</f>
        <v>19</v>
      </c>
      <c r="F26" s="28">
        <v>19</v>
      </c>
      <c r="G26" s="28">
        <f>F26</f>
        <v>19</v>
      </c>
      <c r="H26" s="28">
        <f>G26+1</f>
        <v>20</v>
      </c>
      <c r="I26" s="28">
        <f>H26</f>
        <v>20</v>
      </c>
      <c r="J26" s="28">
        <f>I26+1</f>
        <v>21</v>
      </c>
      <c r="K26" s="28">
        <f>J26</f>
        <v>21</v>
      </c>
      <c r="L26" s="28">
        <f>K26+1</f>
        <v>22</v>
      </c>
      <c r="M26" s="29">
        <f>L26</f>
        <v>22</v>
      </c>
    </row>
    <row r="27" spans="1:13">
      <c r="A27" s="5"/>
    </row>
    <row r="28" spans="1:13">
      <c r="A28" s="30" t="s">
        <v>31</v>
      </c>
    </row>
    <row r="29" spans="1:13">
      <c r="A29" s="36" t="s">
        <v>32</v>
      </c>
    </row>
    <row r="30" spans="1:13">
      <c r="A30" s="5"/>
    </row>
    <row r="31" spans="1:13">
      <c r="A31" s="5"/>
    </row>
    <row r="32" spans="1:13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13F4-1954-4DEE-B6E4-F3F40FD6C502}">
  <sheetPr>
    <pageSetUpPr fitToPage="1"/>
  </sheetPr>
  <dimension ref="A1:R36"/>
  <sheetViews>
    <sheetView workbookViewId="0">
      <selection sqref="A1:Q27"/>
    </sheetView>
  </sheetViews>
  <sheetFormatPr defaultRowHeight="15"/>
  <cols>
    <col min="1" max="1" width="57.28515625" customWidth="1"/>
    <col min="3" max="7" width="9.140625" customWidth="1"/>
    <col min="10" max="18" width="9.140625" customWidth="1"/>
  </cols>
  <sheetData>
    <row r="1" spans="1:18" ht="15.75" thickBot="1">
      <c r="A1" s="4" t="s">
        <v>33</v>
      </c>
    </row>
    <row r="2" spans="1:18" ht="14.45" customHeight="1" thickBot="1">
      <c r="A2" s="1" t="s">
        <v>1</v>
      </c>
      <c r="B2" s="17" t="s">
        <v>2</v>
      </c>
      <c r="C2" s="16">
        <v>26</v>
      </c>
      <c r="D2" s="8">
        <v>28</v>
      </c>
      <c r="E2" s="8"/>
      <c r="F2" s="8">
        <v>30</v>
      </c>
      <c r="G2" s="8"/>
      <c r="H2" s="8">
        <v>32</v>
      </c>
      <c r="I2" s="8"/>
      <c r="J2" s="8">
        <v>34</v>
      </c>
      <c r="K2" s="8"/>
      <c r="L2" s="8">
        <v>36</v>
      </c>
      <c r="M2" s="8"/>
      <c r="N2" s="8">
        <v>38</v>
      </c>
      <c r="O2" s="8">
        <v>40</v>
      </c>
      <c r="P2" s="8">
        <v>42</v>
      </c>
      <c r="Q2" s="8">
        <v>44</v>
      </c>
      <c r="R2" s="8">
        <v>46</v>
      </c>
    </row>
    <row r="3" spans="1:18">
      <c r="A3" s="31" t="s">
        <v>3</v>
      </c>
      <c r="B3" s="14">
        <v>1</v>
      </c>
      <c r="C3" s="32">
        <f t="shared" ref="C3:C5" si="0">D3-2.5</f>
        <v>35</v>
      </c>
      <c r="D3" s="33">
        <f>F3-2.5</f>
        <v>37.5</v>
      </c>
      <c r="E3" s="37">
        <v>34.5</v>
      </c>
      <c r="F3" s="33">
        <f>H3-2.5</f>
        <v>40</v>
      </c>
      <c r="G3" s="37">
        <v>38</v>
      </c>
      <c r="H3" s="34">
        <v>42.5</v>
      </c>
      <c r="I3" s="34">
        <v>41.5</v>
      </c>
      <c r="J3" s="33">
        <f>H3+2.5</f>
        <v>45</v>
      </c>
      <c r="K3" s="37">
        <v>43.5</v>
      </c>
      <c r="L3" s="33">
        <f>J3+2.5</f>
        <v>47.5</v>
      </c>
      <c r="M3" s="37">
        <v>45</v>
      </c>
      <c r="N3" s="33">
        <f>L3+2.5</f>
        <v>50</v>
      </c>
      <c r="O3" s="33">
        <f t="shared" ref="O3:R5" si="1">N3+2.5</f>
        <v>52.5</v>
      </c>
      <c r="P3" s="33">
        <f t="shared" si="1"/>
        <v>55</v>
      </c>
      <c r="Q3" s="33">
        <f>P3+2.5</f>
        <v>57.5</v>
      </c>
      <c r="R3" s="35">
        <f t="shared" si="1"/>
        <v>60</v>
      </c>
    </row>
    <row r="4" spans="1:18" ht="14.45" customHeight="1">
      <c r="A4" s="2" t="s">
        <v>4</v>
      </c>
      <c r="B4" s="14">
        <v>1</v>
      </c>
      <c r="C4" s="9">
        <f t="shared" si="0"/>
        <v>45</v>
      </c>
      <c r="D4" s="6">
        <f>F4-2.5</f>
        <v>47.5</v>
      </c>
      <c r="E4" s="6"/>
      <c r="F4" s="6">
        <f>H4-2.5</f>
        <v>50</v>
      </c>
      <c r="G4" s="6"/>
      <c r="H4" s="6">
        <v>52.5</v>
      </c>
      <c r="I4" s="6"/>
      <c r="J4" s="6">
        <f>H4+2.5</f>
        <v>55</v>
      </c>
      <c r="K4" s="6"/>
      <c r="L4" s="6">
        <f>J4+2.5</f>
        <v>57.5</v>
      </c>
      <c r="M4" s="6"/>
      <c r="N4" s="6">
        <f>L4+2.5</f>
        <v>60</v>
      </c>
      <c r="O4" s="6">
        <f t="shared" si="1"/>
        <v>62.5</v>
      </c>
      <c r="P4" s="6">
        <f t="shared" si="1"/>
        <v>65</v>
      </c>
      <c r="Q4" s="6">
        <f t="shared" si="1"/>
        <v>67.5</v>
      </c>
      <c r="R4" s="10">
        <f t="shared" si="1"/>
        <v>70</v>
      </c>
    </row>
    <row r="5" spans="1:18" ht="14.45" customHeight="1">
      <c r="A5" s="2" t="s">
        <v>5</v>
      </c>
      <c r="B5" s="14">
        <v>1</v>
      </c>
      <c r="C5" s="9">
        <f t="shared" si="0"/>
        <v>48.5</v>
      </c>
      <c r="D5" s="6">
        <f>F5-2.5</f>
        <v>51</v>
      </c>
      <c r="E5" s="38">
        <v>53</v>
      </c>
      <c r="F5" s="6">
        <f>H5-2.5</f>
        <v>53.5</v>
      </c>
      <c r="G5" s="6">
        <v>54.3</v>
      </c>
      <c r="H5" s="6">
        <v>56</v>
      </c>
      <c r="I5" s="38">
        <v>58.6</v>
      </c>
      <c r="J5" s="6">
        <f>H5+2.5</f>
        <v>58.5</v>
      </c>
      <c r="K5" s="38">
        <v>60.5</v>
      </c>
      <c r="L5" s="6">
        <f>J5+2.5</f>
        <v>61</v>
      </c>
      <c r="M5" s="6">
        <v>62.4</v>
      </c>
      <c r="N5" s="6">
        <f>L5+2.5</f>
        <v>63.5</v>
      </c>
      <c r="O5" s="6">
        <f t="shared" si="1"/>
        <v>66</v>
      </c>
      <c r="P5" s="6">
        <f t="shared" si="1"/>
        <v>68.5</v>
      </c>
      <c r="Q5" s="6">
        <f>P5+2.5</f>
        <v>71</v>
      </c>
      <c r="R5" s="10">
        <f t="shared" si="1"/>
        <v>73.5</v>
      </c>
    </row>
    <row r="6" spans="1:18" ht="14.45" customHeight="1">
      <c r="A6" s="31" t="s">
        <v>6</v>
      </c>
      <c r="B6" s="14">
        <v>1</v>
      </c>
      <c r="C6" s="32">
        <f t="shared" ref="C6:C7" si="2">D6-1</f>
        <v>29</v>
      </c>
      <c r="D6" s="33">
        <f>F6-1</f>
        <v>30</v>
      </c>
      <c r="E6" s="33">
        <v>30.4</v>
      </c>
      <c r="F6" s="33">
        <f>H6-1</f>
        <v>31</v>
      </c>
      <c r="G6" s="33">
        <v>31</v>
      </c>
      <c r="H6" s="34">
        <v>32</v>
      </c>
      <c r="I6" s="34">
        <v>31</v>
      </c>
      <c r="J6" s="33">
        <f>H6+1</f>
        <v>33</v>
      </c>
      <c r="K6" s="33">
        <v>32.5</v>
      </c>
      <c r="L6" s="33">
        <f t="shared" ref="L6" si="3">J6+1</f>
        <v>34</v>
      </c>
      <c r="M6" s="33">
        <v>33.1</v>
      </c>
      <c r="N6" s="33">
        <f>L6+1.5</f>
        <v>35.5</v>
      </c>
      <c r="O6" s="33">
        <f>N6+1.5</f>
        <v>37</v>
      </c>
      <c r="P6" s="33">
        <f>O6+1.5</f>
        <v>38.5</v>
      </c>
      <c r="Q6" s="33">
        <f>P6+1.5</f>
        <v>40</v>
      </c>
      <c r="R6" s="35">
        <f>Q6+1.5</f>
        <v>41.5</v>
      </c>
    </row>
    <row r="7" spans="1:18" ht="14.45" customHeight="1">
      <c r="A7" s="31" t="s">
        <v>7</v>
      </c>
      <c r="B7" s="14">
        <v>1</v>
      </c>
      <c r="C7" s="32">
        <f t="shared" si="2"/>
        <v>37</v>
      </c>
      <c r="D7" s="33">
        <f>F7-1</f>
        <v>38</v>
      </c>
      <c r="E7" s="33">
        <v>38</v>
      </c>
      <c r="F7" s="33">
        <f>H7-1</f>
        <v>39</v>
      </c>
      <c r="G7" s="33">
        <v>38.5</v>
      </c>
      <c r="H7" s="34">
        <v>40</v>
      </c>
      <c r="I7" s="34">
        <v>39</v>
      </c>
      <c r="J7" s="33">
        <f>H7+1</f>
        <v>41</v>
      </c>
      <c r="K7" s="33">
        <v>40.200000000000003</v>
      </c>
      <c r="L7" s="33">
        <f t="shared" ref="L7" si="4">J7+1.2</f>
        <v>42.2</v>
      </c>
      <c r="M7" s="33">
        <v>41</v>
      </c>
      <c r="N7" s="33">
        <f>L7+1.8</f>
        <v>44</v>
      </c>
      <c r="O7" s="33">
        <f>N7+1.8</f>
        <v>45.8</v>
      </c>
      <c r="P7" s="33">
        <f>O7+1.8</f>
        <v>47.599999999999994</v>
      </c>
      <c r="Q7" s="33">
        <f>P7+1.8</f>
        <v>49.399999999999991</v>
      </c>
      <c r="R7" s="35">
        <f>Q7+1.8</f>
        <v>51.199999999999989</v>
      </c>
    </row>
    <row r="8" spans="1:18" ht="14.45" customHeight="1">
      <c r="A8" s="2" t="s">
        <v>8</v>
      </c>
      <c r="B8" s="14">
        <v>1</v>
      </c>
      <c r="C8" s="9">
        <f t="shared" ref="C8" si="5">D8-0</f>
        <v>39.5</v>
      </c>
      <c r="D8" s="6">
        <f>F8-0</f>
        <v>39.5</v>
      </c>
      <c r="E8" s="6">
        <v>39</v>
      </c>
      <c r="F8" s="6">
        <f>H8-0</f>
        <v>39.5</v>
      </c>
      <c r="G8" s="6">
        <v>40</v>
      </c>
      <c r="H8" s="6">
        <v>39.5</v>
      </c>
      <c r="I8" s="6">
        <v>40</v>
      </c>
      <c r="J8" s="6">
        <f>H8+0</f>
        <v>39.5</v>
      </c>
      <c r="K8" s="6">
        <v>40.200000000000003</v>
      </c>
      <c r="L8" s="6">
        <f>J8+0</f>
        <v>39.5</v>
      </c>
      <c r="M8" s="6">
        <v>40</v>
      </c>
      <c r="N8" s="6">
        <f>L8</f>
        <v>39.5</v>
      </c>
      <c r="O8" s="6">
        <f>N8</f>
        <v>39.5</v>
      </c>
      <c r="P8" s="6">
        <f t="shared" ref="P8:R8" si="6">O8+0</f>
        <v>39.5</v>
      </c>
      <c r="Q8" s="6">
        <f>P8+0</f>
        <v>39.5</v>
      </c>
      <c r="R8" s="10">
        <f t="shared" si="6"/>
        <v>39.5</v>
      </c>
    </row>
    <row r="9" spans="1:18" ht="14.45" customHeight="1">
      <c r="A9" s="2" t="s">
        <v>9</v>
      </c>
      <c r="B9" s="14">
        <v>1</v>
      </c>
      <c r="C9" s="9">
        <f t="shared" ref="C9" si="7">D9-1.2</f>
        <v>34.399999999999991</v>
      </c>
      <c r="D9" s="6">
        <f>F9-1.2</f>
        <v>35.599999999999994</v>
      </c>
      <c r="E9" s="6">
        <v>34.9</v>
      </c>
      <c r="F9" s="6">
        <f>H9-1.2</f>
        <v>36.799999999999997</v>
      </c>
      <c r="G9" s="6">
        <v>35</v>
      </c>
      <c r="H9" s="6">
        <v>38</v>
      </c>
      <c r="I9" s="6">
        <v>37.5</v>
      </c>
      <c r="J9" s="6">
        <f>H9+1.5</f>
        <v>39.5</v>
      </c>
      <c r="K9" s="6">
        <v>38</v>
      </c>
      <c r="L9" s="6">
        <f>J9+1.5</f>
        <v>41</v>
      </c>
      <c r="M9" s="6">
        <v>40</v>
      </c>
      <c r="N9" s="6">
        <f>L9+1.5</f>
        <v>42.5</v>
      </c>
      <c r="O9" s="6">
        <f t="shared" ref="O9:R9" si="8">N9+1.5</f>
        <v>44</v>
      </c>
      <c r="P9" s="6">
        <f t="shared" si="8"/>
        <v>45.5</v>
      </c>
      <c r="Q9" s="6">
        <f>P9+1.5</f>
        <v>47</v>
      </c>
      <c r="R9" s="10">
        <f t="shared" si="8"/>
        <v>48.5</v>
      </c>
    </row>
    <row r="10" spans="1:18" ht="14.45" customHeight="1">
      <c r="A10" s="2" t="s">
        <v>29</v>
      </c>
      <c r="B10" s="14">
        <v>1</v>
      </c>
      <c r="C10" s="9">
        <f t="shared" ref="C10" si="9">D10-1</f>
        <v>31.5</v>
      </c>
      <c r="D10" s="6">
        <f>F10-1</f>
        <v>32.5</v>
      </c>
      <c r="E10" s="6"/>
      <c r="F10" s="6">
        <f>H10-1</f>
        <v>33.5</v>
      </c>
      <c r="G10" s="6"/>
      <c r="H10" s="6">
        <v>34.5</v>
      </c>
      <c r="I10" s="6"/>
      <c r="J10" s="6">
        <f>H10+1</f>
        <v>35.5</v>
      </c>
      <c r="K10" s="6"/>
      <c r="L10" s="6">
        <f>J10+1</f>
        <v>36.5</v>
      </c>
      <c r="M10" s="6"/>
      <c r="N10" s="6">
        <f>L10+1</f>
        <v>37.5</v>
      </c>
      <c r="O10" s="6">
        <f t="shared" ref="O10:R10" si="10">N10+1</f>
        <v>38.5</v>
      </c>
      <c r="P10" s="6">
        <f t="shared" si="10"/>
        <v>39.5</v>
      </c>
      <c r="Q10" s="6">
        <f>P10+1</f>
        <v>40.5</v>
      </c>
      <c r="R10" s="10">
        <f t="shared" si="10"/>
        <v>41.5</v>
      </c>
    </row>
    <row r="11" spans="1:18" ht="14.45" customHeight="1">
      <c r="A11" s="2" t="s">
        <v>11</v>
      </c>
      <c r="B11" s="14">
        <v>0.5</v>
      </c>
      <c r="C11" s="9">
        <f t="shared" ref="C11:C12" si="11">H11</f>
        <v>2</v>
      </c>
      <c r="D11" s="6">
        <f t="shared" ref="D11:D12" si="12">H11</f>
        <v>2</v>
      </c>
      <c r="E11" s="6"/>
      <c r="F11" s="6">
        <f t="shared" ref="F11:F12" si="13">H11</f>
        <v>2</v>
      </c>
      <c r="G11" s="6"/>
      <c r="H11" s="6">
        <v>2</v>
      </c>
      <c r="I11" s="6"/>
      <c r="J11" s="6">
        <f t="shared" ref="J11:J12" si="14">H11</f>
        <v>2</v>
      </c>
      <c r="K11" s="6"/>
      <c r="L11" s="6">
        <f t="shared" ref="L11:L12" si="15">H11</f>
        <v>2</v>
      </c>
      <c r="M11" s="6"/>
      <c r="N11" s="6">
        <f t="shared" ref="N11:N12" si="16">H11</f>
        <v>2</v>
      </c>
      <c r="O11" s="6">
        <f t="shared" ref="O11:O12" si="17">H11</f>
        <v>2</v>
      </c>
      <c r="P11" s="6">
        <f t="shared" ref="P11:P12" si="18">H11</f>
        <v>2</v>
      </c>
      <c r="Q11" s="6">
        <f>H11</f>
        <v>2</v>
      </c>
      <c r="R11" s="10">
        <f t="shared" ref="R11:R12" si="19">J11</f>
        <v>2</v>
      </c>
    </row>
    <row r="12" spans="1:18" ht="14.45" customHeight="1">
      <c r="A12" s="3" t="s">
        <v>12</v>
      </c>
      <c r="B12" s="14">
        <v>0.5</v>
      </c>
      <c r="C12" s="9">
        <f t="shared" si="11"/>
        <v>5</v>
      </c>
      <c r="D12" s="6">
        <f t="shared" si="12"/>
        <v>5</v>
      </c>
      <c r="E12" s="6"/>
      <c r="F12" s="6">
        <f t="shared" si="13"/>
        <v>5</v>
      </c>
      <c r="G12" s="6"/>
      <c r="H12" s="6">
        <v>5</v>
      </c>
      <c r="I12" s="6"/>
      <c r="J12" s="6">
        <f t="shared" si="14"/>
        <v>5</v>
      </c>
      <c r="K12" s="6"/>
      <c r="L12" s="6">
        <f t="shared" si="15"/>
        <v>5</v>
      </c>
      <c r="M12" s="6"/>
      <c r="N12" s="6">
        <f t="shared" si="16"/>
        <v>5</v>
      </c>
      <c r="O12" s="6">
        <f t="shared" si="17"/>
        <v>5</v>
      </c>
      <c r="P12" s="6">
        <f t="shared" si="18"/>
        <v>5</v>
      </c>
      <c r="Q12" s="6">
        <f>H12</f>
        <v>5</v>
      </c>
      <c r="R12" s="10">
        <f t="shared" si="19"/>
        <v>5</v>
      </c>
    </row>
    <row r="13" spans="1:18" ht="14.45" customHeight="1">
      <c r="A13" s="3" t="s">
        <v>13</v>
      </c>
      <c r="B13" s="14">
        <v>0.5</v>
      </c>
      <c r="C13" s="9">
        <f>D13-0</f>
        <v>17.5</v>
      </c>
      <c r="D13" s="6">
        <f>F13-0.5</f>
        <v>17.5</v>
      </c>
      <c r="E13" s="6"/>
      <c r="F13" s="6">
        <f>H13-0</f>
        <v>18</v>
      </c>
      <c r="G13" s="6"/>
      <c r="H13" s="6">
        <v>18</v>
      </c>
      <c r="I13" s="6"/>
      <c r="J13" s="6">
        <f>H13+0.5</f>
        <v>18.5</v>
      </c>
      <c r="K13" s="6"/>
      <c r="L13" s="6">
        <f>J13+0</f>
        <v>18.5</v>
      </c>
      <c r="M13" s="6"/>
      <c r="N13" s="6">
        <f>L13+0.5</f>
        <v>19</v>
      </c>
      <c r="O13" s="6">
        <f>N13+0</f>
        <v>19</v>
      </c>
      <c r="P13" s="6">
        <f>O13+1</f>
        <v>20</v>
      </c>
      <c r="Q13" s="6">
        <f>P13+0</f>
        <v>20</v>
      </c>
      <c r="R13" s="10">
        <f>Q13+0</f>
        <v>20</v>
      </c>
    </row>
    <row r="14" spans="1:18" ht="14.45" customHeight="1">
      <c r="A14" s="13" t="s">
        <v>14</v>
      </c>
      <c r="B14" s="14">
        <v>0.5</v>
      </c>
      <c r="C14" s="9">
        <f t="shared" ref="C14" si="20">D14</f>
        <v>4</v>
      </c>
      <c r="D14" s="6">
        <f>F14</f>
        <v>4</v>
      </c>
      <c r="E14" s="6"/>
      <c r="F14" s="6">
        <f>H14</f>
        <v>4</v>
      </c>
      <c r="G14" s="6"/>
      <c r="H14" s="6">
        <v>4</v>
      </c>
      <c r="I14" s="6"/>
      <c r="J14" s="6">
        <f>H14</f>
        <v>4</v>
      </c>
      <c r="K14" s="6"/>
      <c r="L14" s="6">
        <f t="shared" ref="L14:L19" si="21">J14</f>
        <v>4</v>
      </c>
      <c r="M14" s="6"/>
      <c r="N14" s="6">
        <f>L14</f>
        <v>4</v>
      </c>
      <c r="O14" s="6">
        <f t="shared" ref="O14:R14" si="22">N14</f>
        <v>4</v>
      </c>
      <c r="P14" s="6">
        <f t="shared" si="22"/>
        <v>4</v>
      </c>
      <c r="Q14" s="6">
        <f t="shared" si="22"/>
        <v>4</v>
      </c>
      <c r="R14" s="10">
        <f t="shared" si="22"/>
        <v>4</v>
      </c>
    </row>
    <row r="15" spans="1:18" ht="14.45" customHeight="1">
      <c r="A15" s="12" t="s">
        <v>15</v>
      </c>
      <c r="B15" s="14">
        <v>0.5</v>
      </c>
      <c r="C15" s="9">
        <f>D15</f>
        <v>11.5</v>
      </c>
      <c r="D15" s="6">
        <f>F15-0.5</f>
        <v>11.5</v>
      </c>
      <c r="E15" s="6"/>
      <c r="F15" s="6">
        <v>12</v>
      </c>
      <c r="G15" s="6"/>
      <c r="H15" s="6">
        <v>10</v>
      </c>
      <c r="I15" s="6"/>
      <c r="J15" s="6">
        <f>H15+0.5</f>
        <v>10.5</v>
      </c>
      <c r="K15" s="6"/>
      <c r="L15" s="6">
        <f t="shared" si="21"/>
        <v>10.5</v>
      </c>
      <c r="M15" s="6"/>
      <c r="N15" s="6">
        <f>L15+0.5</f>
        <v>11</v>
      </c>
      <c r="O15" s="6">
        <f>N15</f>
        <v>11</v>
      </c>
      <c r="P15" s="6">
        <f t="shared" ref="P15:P16" si="23">O15+0.5</f>
        <v>11.5</v>
      </c>
      <c r="Q15" s="6">
        <f>P15</f>
        <v>11.5</v>
      </c>
      <c r="R15" s="10">
        <f>Q15</f>
        <v>11.5</v>
      </c>
    </row>
    <row r="16" spans="1:18" ht="14.45" customHeight="1">
      <c r="A16" s="19" t="s">
        <v>16</v>
      </c>
      <c r="B16" s="20">
        <v>0.5</v>
      </c>
      <c r="C16" s="21">
        <f>D16</f>
        <v>6</v>
      </c>
      <c r="D16" s="22">
        <f>F16-0.5</f>
        <v>6</v>
      </c>
      <c r="E16" s="22"/>
      <c r="F16" s="22">
        <v>6.5</v>
      </c>
      <c r="G16" s="22"/>
      <c r="H16" s="22">
        <f>F16</f>
        <v>6.5</v>
      </c>
      <c r="I16" s="22"/>
      <c r="J16" s="22">
        <f>H16+0.5</f>
        <v>7</v>
      </c>
      <c r="K16" s="22"/>
      <c r="L16" s="22">
        <f t="shared" si="21"/>
        <v>7</v>
      </c>
      <c r="M16" s="22"/>
      <c r="N16" s="22">
        <f>L16+0.5</f>
        <v>7.5</v>
      </c>
      <c r="O16" s="22">
        <f>N16</f>
        <v>7.5</v>
      </c>
      <c r="P16" s="22">
        <f t="shared" si="23"/>
        <v>8</v>
      </c>
      <c r="Q16" s="22">
        <f>P16</f>
        <v>8</v>
      </c>
      <c r="R16" s="23">
        <f>Q16</f>
        <v>8</v>
      </c>
    </row>
    <row r="17" spans="1:18" ht="14.45" customHeight="1">
      <c r="A17" s="13" t="s">
        <v>17</v>
      </c>
      <c r="B17" s="14">
        <v>0.5</v>
      </c>
      <c r="C17" s="9">
        <f>D17-0.5</f>
        <v>16</v>
      </c>
      <c r="D17" s="6">
        <f>F17-0.5</f>
        <v>16.5</v>
      </c>
      <c r="E17" s="6"/>
      <c r="F17" s="6">
        <f>H17</f>
        <v>17</v>
      </c>
      <c r="G17" s="6"/>
      <c r="H17" s="7">
        <v>17</v>
      </c>
      <c r="I17" s="7"/>
      <c r="J17" s="6">
        <f>H17+0.5</f>
        <v>17.5</v>
      </c>
      <c r="K17" s="6"/>
      <c r="L17" s="6">
        <f t="shared" si="21"/>
        <v>17.5</v>
      </c>
      <c r="M17" s="6"/>
      <c r="N17" s="6">
        <f>L17+0.5</f>
        <v>18</v>
      </c>
      <c r="O17" s="6">
        <f>N17</f>
        <v>18</v>
      </c>
      <c r="P17" s="6">
        <f>O17+0.5</f>
        <v>18.5</v>
      </c>
      <c r="Q17" s="6">
        <f t="shared" ref="Q17:R17" si="24">P17+0.5</f>
        <v>19</v>
      </c>
      <c r="R17" s="10">
        <f t="shared" si="24"/>
        <v>19.5</v>
      </c>
    </row>
    <row r="18" spans="1:18" ht="14.45" customHeight="1">
      <c r="A18" s="13" t="s">
        <v>18</v>
      </c>
      <c r="B18" s="14">
        <v>0</v>
      </c>
      <c r="C18" s="9">
        <f t="shared" ref="C18:C19" si="25">D18</f>
        <v>1.5</v>
      </c>
      <c r="D18" s="6">
        <f>F18</f>
        <v>1.5</v>
      </c>
      <c r="E18" s="6"/>
      <c r="F18" s="6">
        <f>H18</f>
        <v>1.5</v>
      </c>
      <c r="G18" s="6"/>
      <c r="H18" s="6">
        <v>1.5</v>
      </c>
      <c r="I18" s="6"/>
      <c r="J18" s="6">
        <f>H18</f>
        <v>1.5</v>
      </c>
      <c r="K18" s="6"/>
      <c r="L18" s="6">
        <f t="shared" si="21"/>
        <v>1.5</v>
      </c>
      <c r="M18" s="6"/>
      <c r="N18" s="6">
        <f>L18</f>
        <v>1.5</v>
      </c>
      <c r="O18" s="6">
        <f t="shared" ref="O18:R19" si="26">N18</f>
        <v>1.5</v>
      </c>
      <c r="P18" s="6">
        <f t="shared" si="26"/>
        <v>1.5</v>
      </c>
      <c r="Q18" s="6">
        <f t="shared" si="26"/>
        <v>1.5</v>
      </c>
      <c r="R18" s="10">
        <f t="shared" si="26"/>
        <v>1.5</v>
      </c>
    </row>
    <row r="19" spans="1:18" ht="14.45" customHeight="1">
      <c r="A19" s="13" t="s">
        <v>19</v>
      </c>
      <c r="B19" s="14">
        <v>0</v>
      </c>
      <c r="C19" s="9">
        <f t="shared" si="25"/>
        <v>7</v>
      </c>
      <c r="D19" s="6">
        <f>F19</f>
        <v>7</v>
      </c>
      <c r="E19" s="6"/>
      <c r="F19" s="6">
        <f>H19</f>
        <v>7</v>
      </c>
      <c r="G19" s="6"/>
      <c r="H19" s="6">
        <v>7</v>
      </c>
      <c r="I19" s="6"/>
      <c r="J19" s="6">
        <f>H19</f>
        <v>7</v>
      </c>
      <c r="K19" s="6"/>
      <c r="L19" s="6">
        <f t="shared" si="21"/>
        <v>7</v>
      </c>
      <c r="M19" s="6"/>
      <c r="N19" s="6">
        <f>L19</f>
        <v>7</v>
      </c>
      <c r="O19" s="6">
        <f t="shared" si="26"/>
        <v>7</v>
      </c>
      <c r="P19" s="6">
        <f t="shared" si="26"/>
        <v>7</v>
      </c>
      <c r="Q19" s="6">
        <f t="shared" si="26"/>
        <v>7</v>
      </c>
      <c r="R19" s="10">
        <f t="shared" si="26"/>
        <v>7</v>
      </c>
    </row>
    <row r="20" spans="1:18" ht="14.45" customHeight="1">
      <c r="A20" s="12" t="s">
        <v>20</v>
      </c>
      <c r="B20" s="14">
        <v>0.5</v>
      </c>
      <c r="C20" s="9">
        <f>D20</f>
        <v>7.5</v>
      </c>
      <c r="D20" s="6">
        <f>F20-0.5</f>
        <v>7.5</v>
      </c>
      <c r="E20" s="6"/>
      <c r="F20" s="6">
        <f>H20</f>
        <v>8</v>
      </c>
      <c r="G20" s="6"/>
      <c r="H20" s="6">
        <v>8</v>
      </c>
      <c r="I20" s="6"/>
      <c r="J20" s="6">
        <f>H20</f>
        <v>8</v>
      </c>
      <c r="K20" s="6"/>
      <c r="L20" s="6">
        <f>J20+0.5</f>
        <v>8.5</v>
      </c>
      <c r="M20" s="6"/>
      <c r="N20" s="6">
        <f>L20</f>
        <v>8.5</v>
      </c>
      <c r="O20" s="6">
        <f>N20+0.5</f>
        <v>9</v>
      </c>
      <c r="P20" s="6">
        <f>O20</f>
        <v>9</v>
      </c>
      <c r="Q20" s="6">
        <f>P20+0.5</f>
        <v>9.5</v>
      </c>
      <c r="R20" s="10">
        <f>Q20</f>
        <v>9.5</v>
      </c>
    </row>
    <row r="21" spans="1:18" ht="14.45" customHeight="1">
      <c r="A21" s="12" t="s">
        <v>21</v>
      </c>
      <c r="B21" s="14">
        <v>0.5</v>
      </c>
      <c r="C21" s="9">
        <f>D21</f>
        <v>4.5</v>
      </c>
      <c r="D21" s="6">
        <f>F21-0.5</f>
        <v>4.5</v>
      </c>
      <c r="E21" s="6"/>
      <c r="F21" s="6">
        <f>H21</f>
        <v>5</v>
      </c>
      <c r="G21" s="6"/>
      <c r="H21" s="6">
        <v>5</v>
      </c>
      <c r="I21" s="6"/>
      <c r="J21" s="6">
        <f>H21</f>
        <v>5</v>
      </c>
      <c r="K21" s="6"/>
      <c r="L21" s="6">
        <f>J21+0.5</f>
        <v>5.5</v>
      </c>
      <c r="M21" s="6"/>
      <c r="N21" s="6">
        <f>L21</f>
        <v>5.5</v>
      </c>
      <c r="O21" s="6">
        <f>N21+0.5</f>
        <v>6</v>
      </c>
      <c r="P21" s="6">
        <f>O21</f>
        <v>6</v>
      </c>
      <c r="Q21" s="6">
        <f>P21+0.5</f>
        <v>6.5</v>
      </c>
      <c r="R21" s="10">
        <f>Q21</f>
        <v>6.5</v>
      </c>
    </row>
    <row r="22" spans="1:18" ht="14.45" customHeight="1">
      <c r="A22" s="12" t="s">
        <v>22</v>
      </c>
      <c r="B22" s="14">
        <v>0.5</v>
      </c>
      <c r="C22" s="9">
        <f t="shared" ref="C22:C23" si="27">D22-0.5</f>
        <v>15.5</v>
      </c>
      <c r="D22" s="6">
        <f>F22-0.5</f>
        <v>16</v>
      </c>
      <c r="E22" s="6"/>
      <c r="F22" s="6">
        <f>H22-0.5</f>
        <v>16.5</v>
      </c>
      <c r="G22" s="6"/>
      <c r="H22" s="6">
        <v>17</v>
      </c>
      <c r="I22" s="6"/>
      <c r="J22" s="6">
        <f>H22+0.5</f>
        <v>17.5</v>
      </c>
      <c r="K22" s="6"/>
      <c r="L22" s="6">
        <f>J22+0.5</f>
        <v>18</v>
      </c>
      <c r="M22" s="6"/>
      <c r="N22" s="6">
        <f>L22+0.5</f>
        <v>18.5</v>
      </c>
      <c r="O22" s="6">
        <f t="shared" ref="O22:R23" si="28">N22+0.5</f>
        <v>19</v>
      </c>
      <c r="P22" s="6">
        <f t="shared" si="28"/>
        <v>19.5</v>
      </c>
      <c r="Q22" s="6">
        <f t="shared" si="28"/>
        <v>20</v>
      </c>
      <c r="R22" s="10">
        <f t="shared" si="28"/>
        <v>20.5</v>
      </c>
    </row>
    <row r="23" spans="1:18" ht="14.45" customHeight="1">
      <c r="A23" s="12" t="s">
        <v>23</v>
      </c>
      <c r="B23" s="14">
        <v>0.5</v>
      </c>
      <c r="C23" s="9">
        <f t="shared" si="27"/>
        <v>16</v>
      </c>
      <c r="D23" s="6">
        <f>F23-0.5</f>
        <v>16.5</v>
      </c>
      <c r="E23" s="6"/>
      <c r="F23" s="6">
        <f>H23-0.5</f>
        <v>17</v>
      </c>
      <c r="G23" s="6"/>
      <c r="H23" s="6">
        <v>17.5</v>
      </c>
      <c r="I23" s="6"/>
      <c r="J23" s="6">
        <f>H23+0.5</f>
        <v>18</v>
      </c>
      <c r="K23" s="6"/>
      <c r="L23" s="6">
        <f>J23+0.5</f>
        <v>18.5</v>
      </c>
      <c r="M23" s="6"/>
      <c r="N23" s="6">
        <f>L23+0.5</f>
        <v>19</v>
      </c>
      <c r="O23" s="6">
        <f t="shared" si="28"/>
        <v>19.5</v>
      </c>
      <c r="P23" s="6">
        <f t="shared" si="28"/>
        <v>20</v>
      </c>
      <c r="Q23" s="6">
        <f t="shared" si="28"/>
        <v>20.5</v>
      </c>
      <c r="R23" s="10">
        <f t="shared" si="28"/>
        <v>21</v>
      </c>
    </row>
    <row r="24" spans="1:18" ht="14.45" customHeight="1">
      <c r="A24" s="12" t="s">
        <v>24</v>
      </c>
      <c r="B24" s="14">
        <v>0.5</v>
      </c>
      <c r="C24" s="9">
        <f t="shared" ref="C24" si="29">D24</f>
        <v>4.5</v>
      </c>
      <c r="D24" s="6">
        <f>F24</f>
        <v>4.5</v>
      </c>
      <c r="E24" s="6"/>
      <c r="F24" s="6">
        <f>H24</f>
        <v>4.5</v>
      </c>
      <c r="G24" s="6"/>
      <c r="H24" s="6">
        <v>4.5</v>
      </c>
      <c r="I24" s="6"/>
      <c r="J24" s="6">
        <f>H24</f>
        <v>4.5</v>
      </c>
      <c r="K24" s="6"/>
      <c r="L24" s="6">
        <f>J24</f>
        <v>4.5</v>
      </c>
      <c r="M24" s="6"/>
      <c r="N24" s="6">
        <f>L24</f>
        <v>4.5</v>
      </c>
      <c r="O24" s="6">
        <f t="shared" ref="O24:R24" si="30">N24</f>
        <v>4.5</v>
      </c>
      <c r="P24" s="6">
        <f t="shared" si="30"/>
        <v>4.5</v>
      </c>
      <c r="Q24" s="6">
        <f t="shared" si="30"/>
        <v>4.5</v>
      </c>
      <c r="R24" s="10">
        <f t="shared" si="30"/>
        <v>4.5</v>
      </c>
    </row>
    <row r="25" spans="1:18">
      <c r="A25" s="12" t="s">
        <v>25</v>
      </c>
      <c r="B25" s="14">
        <v>0.5</v>
      </c>
      <c r="C25" s="9">
        <f>D25</f>
        <v>4.5</v>
      </c>
      <c r="D25" s="6">
        <f>F25-0.5</f>
        <v>4.5</v>
      </c>
      <c r="E25" s="6"/>
      <c r="F25" s="6">
        <f>H25</f>
        <v>5</v>
      </c>
      <c r="G25" s="6"/>
      <c r="H25" s="6">
        <v>5</v>
      </c>
      <c r="I25" s="6"/>
      <c r="J25" s="6">
        <f>H25+0.5</f>
        <v>5.5</v>
      </c>
      <c r="K25" s="6"/>
      <c r="L25" s="6">
        <f>J25</f>
        <v>5.5</v>
      </c>
      <c r="M25" s="6"/>
      <c r="N25" s="6">
        <f>L25+0.5</f>
        <v>6</v>
      </c>
      <c r="O25" s="6">
        <f>N25</f>
        <v>6</v>
      </c>
      <c r="P25" s="6">
        <f>O25+0.5</f>
        <v>6.5</v>
      </c>
      <c r="Q25" s="6">
        <f>P25</f>
        <v>6.5</v>
      </c>
      <c r="R25" s="10">
        <f>Q25+0.5</f>
        <v>7</v>
      </c>
    </row>
    <row r="26" spans="1:18" ht="15.75" thickBot="1">
      <c r="A26" s="25" t="s">
        <v>26</v>
      </c>
      <c r="B26" s="26">
        <v>0.5</v>
      </c>
      <c r="C26" s="27">
        <f>D26</f>
        <v>18</v>
      </c>
      <c r="D26" s="28">
        <f>F26-1</f>
        <v>18</v>
      </c>
      <c r="E26" s="28"/>
      <c r="F26" s="28">
        <f>H26</f>
        <v>19</v>
      </c>
      <c r="G26" s="28"/>
      <c r="H26" s="28">
        <v>19</v>
      </c>
      <c r="I26" s="28"/>
      <c r="J26" s="28">
        <f>H26</f>
        <v>19</v>
      </c>
      <c r="K26" s="28"/>
      <c r="L26" s="28">
        <f>J26+1</f>
        <v>20</v>
      </c>
      <c r="M26" s="28"/>
      <c r="N26" s="28">
        <f>L26</f>
        <v>20</v>
      </c>
      <c r="O26" s="28">
        <f>N26+1</f>
        <v>21</v>
      </c>
      <c r="P26" s="28">
        <f>O26</f>
        <v>21</v>
      </c>
      <c r="Q26" s="28">
        <f>P26+1</f>
        <v>22</v>
      </c>
      <c r="R26" s="29">
        <f>Q26</f>
        <v>22</v>
      </c>
    </row>
    <row r="27" spans="1:18">
      <c r="A27" s="5"/>
    </row>
    <row r="28" spans="1:18">
      <c r="A28" s="30" t="s">
        <v>31</v>
      </c>
    </row>
    <row r="29" spans="1:18">
      <c r="A29" s="36" t="s">
        <v>32</v>
      </c>
    </row>
    <row r="30" spans="1:18">
      <c r="A30" s="5"/>
    </row>
    <row r="31" spans="1:18">
      <c r="A31" s="5"/>
    </row>
    <row r="32" spans="1:18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</sheetData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DAB1D509EE146BEEBD765699BB749" ma:contentTypeVersion="20" ma:contentTypeDescription="Create a new document." ma:contentTypeScope="" ma:versionID="f0c752b930dceb3a5591959a7faf9408">
  <xsd:schema xmlns:xsd="http://www.w3.org/2001/XMLSchema" xmlns:xs="http://www.w3.org/2001/XMLSchema" xmlns:p="http://schemas.microsoft.com/office/2006/metadata/properties" xmlns:ns2="ac0294f4-4970-4891-b816-102ab340a9f2" xmlns:ns3="8c902929-c11e-4be2-b1f0-be14cee91bf8" targetNamespace="http://schemas.microsoft.com/office/2006/metadata/properties" ma:root="true" ma:fieldsID="a92bb2dfa7e0f4bf0aabd630a8cf7e0a" ns2:_="" ns3:_="">
    <xsd:import namespace="ac0294f4-4970-4891-b816-102ab340a9f2"/>
    <xsd:import namespace="8c902929-c11e-4be2-b1f0-be14cee91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BLOCKAPPRO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294f4-4970-4891-b816-102ab340a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eae7cc-d08f-4d9c-af47-0001170d57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default="Incomplete" ma:internalName="Status">
      <xsd:simpleType>
        <xsd:restriction base="dms:Unknown">
          <xsd:enumeration value="Incomplete"/>
          <xsd:enumeration value="Complete"/>
          <xsd:enumeration value="Waiting for another sample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BLOCKAPPROVED" ma:index="26" nillable="true" ma:displayName="BLOCK APPROVED" ma:format="Dropdown" ma:internalName="BLOCKAPPROVED">
      <xsd:simpleType>
        <xsd:restriction base="dms:Choice">
          <xsd:enumeration value="APPROVAL DATE 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02929-c11e-4be2-b1f0-be14cee91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8ecc04-e826-4a7d-b941-794c1cb025d8}" ma:internalName="TaxCatchAll" ma:showField="CatchAllData" ma:web="8c902929-c11e-4be2-b1f0-be14cee91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294f4-4970-4891-b816-102ab340a9f2">
      <Terms xmlns="http://schemas.microsoft.com/office/infopath/2007/PartnerControls"/>
    </lcf76f155ced4ddcb4097134ff3c332f>
    <TaxCatchAll xmlns="8c902929-c11e-4be2-b1f0-be14cee91bf8" xsi:nil="true"/>
    <Status xmlns="ac0294f4-4970-4891-b816-102ab340a9f2">Incomplete</Status>
    <SharedWithUsers xmlns="8c902929-c11e-4be2-b1f0-be14cee91bf8">
      <UserInfo>
        <DisplayName>Taylor Smith</DisplayName>
        <AccountId>28</AccountId>
        <AccountType/>
      </UserInfo>
      <UserInfo>
        <DisplayName>Emily Berry</DisplayName>
        <AccountId>3987</AccountId>
        <AccountType/>
      </UserInfo>
      <UserInfo>
        <DisplayName>Myah Kennerley</DisplayName>
        <AccountId>6272</AccountId>
        <AccountType/>
      </UserInfo>
      <UserInfo>
        <DisplayName>Kory Virgo</DisplayName>
        <AccountId>2179</AccountId>
        <AccountType/>
      </UserInfo>
      <UserInfo>
        <DisplayName>Carl Farquharson</DisplayName>
        <AccountId>3965</AccountId>
        <AccountType/>
      </UserInfo>
      <UserInfo>
        <DisplayName>Claudia  Jeans</DisplayName>
        <AccountId>8532</AccountId>
        <AccountType/>
      </UserInfo>
      <UserInfo>
        <DisplayName>Lucy Murray</DisplayName>
        <AccountId>8533</AccountId>
        <AccountType/>
      </UserInfo>
      <UserInfo>
        <DisplayName>Jack Wainwright</DisplayName>
        <AccountId>7297</AccountId>
        <AccountType/>
      </UserInfo>
    </SharedWithUsers>
    <BLOCKAPPROVED xmlns="ac0294f4-4970-4891-b816-102ab340a9f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0AAD61-FC02-4A39-A370-BC7A9E658898}"/>
</file>

<file path=customXml/itemProps2.xml><?xml version="1.0" encoding="utf-8"?>
<ds:datastoreItem xmlns:ds="http://schemas.openxmlformats.org/officeDocument/2006/customXml" ds:itemID="{DC7D6BE3-4115-437E-A1BC-09A5283F10D3}"/>
</file>

<file path=customXml/itemProps3.xml><?xml version="1.0" encoding="utf-8"?>
<ds:datastoreItem xmlns:ds="http://schemas.openxmlformats.org/officeDocument/2006/customXml" ds:itemID="{EC5B4F64-0EAD-46CC-B941-38E82FFEAD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Boohoo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Nugent</dc:creator>
  <cp:keywords/>
  <dc:description/>
  <cp:lastModifiedBy>Sam Gheith</cp:lastModifiedBy>
  <cp:revision/>
  <dcterms:created xsi:type="dcterms:W3CDTF">2020-11-12T10:08:36Z</dcterms:created>
  <dcterms:modified xsi:type="dcterms:W3CDTF">2024-11-07T16:44:48Z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Order">
    <vt:r8>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TriggerFlowInfo">
    <vt:lpwstr/>
  </property>
</Properties>
</file>